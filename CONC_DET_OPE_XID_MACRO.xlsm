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Zona Trabajo\Excel Macro\Reporte Depositos Identificables\"/>
    </mc:Choice>
  </mc:AlternateContent>
  <xr:revisionPtr revIDLastSave="0" documentId="13_ncr:1_{6BA92ED1-8C22-41EE-B4A8-6E346AADC962}" xr6:coauthVersionLast="45" xr6:coauthVersionMax="45" xr10:uidLastSave="{00000000-0000-0000-0000-000000000000}"/>
  <bookViews>
    <workbookView xWindow="-120" yWindow="-120" windowWidth="29040" windowHeight="15840" tabRatio="688" xr2:uid="{00000000-000D-0000-FFFF-FFFF00000000}"/>
  </bookViews>
  <sheets>
    <sheet name="Data" sheetId="1" r:id="rId1"/>
    <sheet name="Referencia" sheetId="2" r:id="rId2"/>
    <sheet name="Exclusiones" sheetId="3" r:id="rId3"/>
    <sheet name="Responsable-Especifico" sheetId="22" r:id="rId4"/>
    <sheet name="Responsable-Glosa" sheetId="25" r:id="rId5"/>
    <sheet name="Banco" sheetId="24" r:id="rId6"/>
    <sheet name="G_Responsable" sheetId="23" r:id="rId7"/>
    <sheet name="G_Consolidado" sheetId="20" r:id="rId8"/>
    <sheet name="G_Identificabilidad" sheetId="4" r:id="rId9"/>
    <sheet name="G_Soles" sheetId="18" r:id="rId10"/>
    <sheet name="G_Dolares" sheetId="19" r:id="rId11"/>
    <sheet name="G_Identeficables" sheetId="17" r:id="rId12"/>
  </sheets>
  <functionGroups builtInGroupCount="19"/>
  <definedNames>
    <definedName name="_xlnm._FilterDatabase" localSheetId="0" hidden="1">Data!$A$1:$Y$1</definedName>
    <definedName name="_xlnm._FilterDatabase" localSheetId="2" hidden="1">Exclusiones!$B$1:$B$55</definedName>
    <definedName name="AREA">Data!$R$1</definedName>
    <definedName name="EXCLUSION_ESPECIFICA">Exclusiones!$B$2</definedName>
    <definedName name="EXCLUSION_INICIAL">Exclusiones!$A$2</definedName>
    <definedName name="FORMULAS">Data!$L$1:$R$1</definedName>
    <definedName name="GLOSA">Data!$O$1</definedName>
    <definedName name="IDENTIFICABLE">Data!$Y$1</definedName>
    <definedName name="Tipo_de_Cambio">G_Consolidado!$F$2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9" i="2" l="1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P1" i="1"/>
  <c r="N1" i="1" l="1"/>
  <c r="Y1" i="1" l="1"/>
  <c r="X1" i="1"/>
  <c r="W1" i="1"/>
  <c r="V1" i="1"/>
  <c r="U1" i="1"/>
  <c r="T1" i="1"/>
  <c r="Q1" i="1"/>
  <c r="O1" i="1"/>
  <c r="M1" i="1"/>
  <c r="S1" i="1" l="1"/>
  <c r="R1" i="1"/>
  <c r="D78" i="2"/>
  <c r="D72" i="2"/>
  <c r="D73" i="2"/>
  <c r="D74" i="2"/>
  <c r="D75" i="2"/>
  <c r="D76" i="2"/>
  <c r="D77" i="2"/>
  <c r="E2" i="22" l="1"/>
  <c r="L1" i="1"/>
  <c r="D65" i="2" l="1"/>
  <c r="D66" i="2"/>
  <c r="D67" i="2"/>
  <c r="D68" i="2"/>
  <c r="D69" i="2"/>
  <c r="D70" i="2"/>
  <c r="D71" i="2"/>
  <c r="D53" i="2"/>
  <c r="D54" i="2"/>
  <c r="D55" i="2"/>
  <c r="D56" i="2"/>
  <c r="D57" i="2"/>
  <c r="D58" i="2"/>
  <c r="D59" i="2"/>
  <c r="D60" i="2"/>
  <c r="D61" i="2"/>
  <c r="D62" i="2"/>
  <c r="D63" i="2"/>
  <c r="D64" i="2"/>
  <c r="D48" i="2" l="1"/>
  <c r="D49" i="2"/>
  <c r="D50" i="2"/>
  <c r="D51" i="2"/>
  <c r="D52" i="2"/>
  <c r="D36" i="2"/>
  <c r="D37" i="2"/>
  <c r="D38" i="2"/>
  <c r="D39" i="2"/>
  <c r="D40" i="2"/>
  <c r="D41" i="2"/>
  <c r="D42" i="2"/>
  <c r="D43" i="2"/>
  <c r="D44" i="2"/>
  <c r="D45" i="2"/>
  <c r="D46" i="2"/>
  <c r="D47" i="2"/>
  <c r="D35" i="2" l="1"/>
  <c r="D34" i="2"/>
  <c r="D33" i="2"/>
  <c r="D32" i="2"/>
  <c r="D31" i="2"/>
  <c r="D30" i="2"/>
  <c r="D29" i="2" l="1"/>
  <c r="D26" i="2"/>
  <c r="D27" i="2"/>
  <c r="D28" i="2"/>
  <c r="D23" i="2"/>
  <c r="D24" i="2"/>
  <c r="D25" i="2"/>
  <c r="D22" i="2"/>
  <c r="D21" i="2" l="1"/>
  <c r="D20" i="2"/>
  <c r="D19" i="2"/>
  <c r="D18" i="2"/>
  <c r="D17" i="2"/>
  <c r="D16" i="2"/>
  <c r="D15" i="2"/>
  <c r="D14" i="2"/>
  <c r="D13" i="2"/>
  <c r="D3" i="2" l="1"/>
  <c r="D4" i="2"/>
  <c r="D5" i="2"/>
  <c r="D6" i="2"/>
  <c r="D7" i="2"/>
  <c r="D8" i="2"/>
  <c r="D9" i="2"/>
  <c r="D10" i="2"/>
  <c r="D11" i="2"/>
  <c r="D12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A1" authorId="0" shapeId="0" xr:uid="{42C47E9C-0B18-49B1-8338-615D5F2A8CE4}">
      <text>
        <r>
          <rPr>
            <b/>
            <sz val="9"/>
            <color indexed="81"/>
            <rFont val="Tahoma"/>
            <charset val="1"/>
          </rPr>
          <t>Kenji Jhoncon:</t>
        </r>
        <r>
          <rPr>
            <sz val="9"/>
            <color indexed="81"/>
            <rFont val="Tahoma"/>
            <charset val="1"/>
          </rPr>
          <t xml:space="preserve">
v1.0</t>
        </r>
      </text>
    </comment>
  </commentList>
</comments>
</file>

<file path=xl/sharedStrings.xml><?xml version="1.0" encoding="utf-8"?>
<sst xmlns="http://schemas.openxmlformats.org/spreadsheetml/2006/main" count="673" uniqueCount="401">
  <si>
    <t>MONEDA</t>
  </si>
  <si>
    <t>CUENTABANCO</t>
  </si>
  <si>
    <t>BANCO</t>
  </si>
  <si>
    <t>FECHAMOVIMIENTO</t>
  </si>
  <si>
    <t>CODIGO AGENCIA</t>
  </si>
  <si>
    <t>PERIODOCAJA</t>
  </si>
  <si>
    <t>NUMEROCAJA</t>
  </si>
  <si>
    <t>ESTADOCONCILIACION</t>
  </si>
  <si>
    <t>FECHACONCILIACION</t>
  </si>
  <si>
    <t>201803</t>
  </si>
  <si>
    <t>3030917</t>
  </si>
  <si>
    <t>3030253</t>
  </si>
  <si>
    <t>3029393</t>
  </si>
  <si>
    <t>3028411</t>
  </si>
  <si>
    <t>3028412</t>
  </si>
  <si>
    <t>3028479</t>
  </si>
  <si>
    <t>3026189</t>
  </si>
  <si>
    <t>3023795</t>
  </si>
  <si>
    <t>201802</t>
  </si>
  <si>
    <t>3017330</t>
  </si>
  <si>
    <t>3012753</t>
  </si>
  <si>
    <t>3012213</t>
  </si>
  <si>
    <t>REFERENCIA</t>
  </si>
  <si>
    <t>KOHASHIKAWA NAKASONE, RICHARD</t>
  </si>
  <si>
    <t>SALCEDO V, ANA O HERRERA D, CARMEN</t>
  </si>
  <si>
    <t>FARMACIA HOLLYWOOD S.A.C.</t>
  </si>
  <si>
    <t>PONCE SAMAN, CARMEN ROSA</t>
  </si>
  <si>
    <t>GUSHIKEN IREY, JULIO</t>
  </si>
  <si>
    <t>NINA PRO, MIGUEL ANGEL</t>
  </si>
  <si>
    <t>NIEVES BUENO, MONICA ROSARIO</t>
  </si>
  <si>
    <t>NUÑEZ DEL PRADO VIDAL, JOSE</t>
  </si>
  <si>
    <t>NAGAHAMA YARA, MARIA ELENA</t>
  </si>
  <si>
    <t>3036244</t>
  </si>
  <si>
    <t>3036245</t>
  </si>
  <si>
    <t>3036246</t>
  </si>
  <si>
    <t>3036247</t>
  </si>
  <si>
    <t>3036248</t>
  </si>
  <si>
    <t>3036090</t>
  </si>
  <si>
    <t>3016407</t>
  </si>
  <si>
    <t>3016351</t>
  </si>
  <si>
    <t>3035990</t>
  </si>
  <si>
    <t>NUÑEZ TASAICO, CLARA ISABEL</t>
  </si>
  <si>
    <t>ESTRELLA LIMAS, LUIS ALBERTO</t>
  </si>
  <si>
    <t>DIESERC CONSULTING S.A.</t>
  </si>
  <si>
    <t>DUPEYRAT T, CARMEN O CORDOVA D, ALF</t>
  </si>
  <si>
    <t>T &amp; T FRUITS S.A.</t>
  </si>
  <si>
    <t>201804</t>
  </si>
  <si>
    <t>3039852</t>
  </si>
  <si>
    <t>3045561</t>
  </si>
  <si>
    <t>3041513</t>
  </si>
  <si>
    <t>3042246</t>
  </si>
  <si>
    <t>3041114</t>
  </si>
  <si>
    <t>3041113</t>
  </si>
  <si>
    <t>3041112</t>
  </si>
  <si>
    <t>3044810</t>
  </si>
  <si>
    <t>TUESTA ANAYA, RINA</t>
  </si>
  <si>
    <t>I.T.N. S.A</t>
  </si>
  <si>
    <t>VALDIVIA RUIZ, ELIZABETH ANGEL</t>
  </si>
  <si>
    <t>TAKAHASHI XXX, SHINICHI</t>
  </si>
  <si>
    <t>201805</t>
  </si>
  <si>
    <t>201806</t>
  </si>
  <si>
    <t>3056921</t>
  </si>
  <si>
    <t>3068532</t>
  </si>
  <si>
    <t>3068455</t>
  </si>
  <si>
    <t>3068456</t>
  </si>
  <si>
    <t>3051945</t>
  </si>
  <si>
    <t>3068458</t>
  </si>
  <si>
    <t>USHIJIMA CRUZ, ROCIO LAREYNE</t>
  </si>
  <si>
    <t>RADO PERALTA, ARTURO ENRIQUE</t>
  </si>
  <si>
    <t>HIDALGO C. JOSE</t>
  </si>
  <si>
    <t>ABUID FERNANDEZ, ANA TERESA</t>
  </si>
  <si>
    <t>201812</t>
  </si>
  <si>
    <t>201807</t>
  </si>
  <si>
    <t>201808</t>
  </si>
  <si>
    <t>201811</t>
  </si>
  <si>
    <t>201810</t>
  </si>
  <si>
    <t>3141618</t>
  </si>
  <si>
    <t>3138150</t>
  </si>
  <si>
    <t>3141478</t>
  </si>
  <si>
    <t>3139095</t>
  </si>
  <si>
    <t>3139339</t>
  </si>
  <si>
    <t>3139671</t>
  </si>
  <si>
    <t>3138800</t>
  </si>
  <si>
    <t>3082102</t>
  </si>
  <si>
    <t>3076926</t>
  </si>
  <si>
    <t>201809</t>
  </si>
  <si>
    <t>3102479</t>
  </si>
  <si>
    <t>3093532</t>
  </si>
  <si>
    <t>3125242</t>
  </si>
  <si>
    <t>3113069</t>
  </si>
  <si>
    <t>3126770</t>
  </si>
  <si>
    <t>3123977</t>
  </si>
  <si>
    <t>3103360</t>
  </si>
  <si>
    <t>ADMINISTRACION FIDUCIARIA (posiblemente - por verificar)</t>
  </si>
  <si>
    <t>RAMOS PACHECO, JORGE ANTONIO</t>
  </si>
  <si>
    <t>BUCHANAN DE MENESES, MARJORIE</t>
  </si>
  <si>
    <t>20380289360 - MIXERCON S.A</t>
  </si>
  <si>
    <t>INMOBILIARIA EL ALAMEIN SOCIED</t>
  </si>
  <si>
    <t>TERRAZAS RODRIGUEZ, ANIBAL</t>
  </si>
  <si>
    <t>TAVERA NEGRON, JAIME</t>
  </si>
  <si>
    <t>JAVIER SAAVEDRA, JOSE ANTONIO</t>
  </si>
  <si>
    <t>GUIBU MIYASHIRO, ANA MARIA</t>
  </si>
  <si>
    <t>CHUE ROSELL, GONZALO RAFAEL</t>
  </si>
  <si>
    <t>ALDANA SIERRA, MARUXCIA IVONNE</t>
  </si>
  <si>
    <t>201901</t>
  </si>
  <si>
    <t>201903</t>
  </si>
  <si>
    <t>201907</t>
  </si>
  <si>
    <t>201908</t>
  </si>
  <si>
    <t>201909</t>
  </si>
  <si>
    <t>201904</t>
  </si>
  <si>
    <t>201905</t>
  </si>
  <si>
    <t>201906</t>
  </si>
  <si>
    <t>3000070</t>
  </si>
  <si>
    <t>3034440</t>
  </si>
  <si>
    <t>3031773</t>
  </si>
  <si>
    <t>3117349</t>
  </si>
  <si>
    <t>3103368</t>
  </si>
  <si>
    <t>3101246</t>
  </si>
  <si>
    <t>3112914</t>
  </si>
  <si>
    <t>3119232</t>
  </si>
  <si>
    <t>3115725</t>
  </si>
  <si>
    <t>3116305</t>
  </si>
  <si>
    <t>3118880</t>
  </si>
  <si>
    <t>3041504</t>
  </si>
  <si>
    <t>3054650</t>
  </si>
  <si>
    <t>3069309</t>
  </si>
  <si>
    <t>3084761</t>
  </si>
  <si>
    <t>TRANSFERENCIA ENTRE CUENTAS</t>
  </si>
  <si>
    <t>3096607</t>
  </si>
  <si>
    <t>3069175</t>
  </si>
  <si>
    <t>3118884</t>
  </si>
  <si>
    <t>3118017</t>
  </si>
  <si>
    <t>GLOSA INICIO</t>
  </si>
  <si>
    <t>GLOSA ESPECIFICA</t>
  </si>
  <si>
    <t>DEP. EFECTIVO</t>
  </si>
  <si>
    <t>DEPOSITO EN EFECTIVO</t>
  </si>
  <si>
    <t>DEP.EN EFECTIVO</t>
  </si>
  <si>
    <t xml:space="preserve">DEPOS. EN CTA. </t>
  </si>
  <si>
    <t xml:space="preserve">INGRESO EN EFECTIVO </t>
  </si>
  <si>
    <t>TBK-PAGO PROVEEDORES</t>
  </si>
  <si>
    <t>TRA O/CTA</t>
  </si>
  <si>
    <t>TRAN CUENTA TER BM</t>
  </si>
  <si>
    <t>I/S-</t>
  </si>
  <si>
    <t>I/T-</t>
  </si>
  <si>
    <t>IDENTIFICABLE</t>
  </si>
  <si>
    <t>TRANSF UNIVERSIDAD PERUANA DE CIENCIAS APLICADA 2804170</t>
  </si>
  <si>
    <t>RECAUDACION BANCA AUTOMATIC</t>
  </si>
  <si>
    <t>TRANSFERENCIA</t>
  </si>
  <si>
    <t>PAGOS VARIOS BANCA AUTOMATIC</t>
  </si>
  <si>
    <t>TRANSFERENCIA A COOPERATIVA PACIFIC</t>
  </si>
  <si>
    <t>APORTES 6 MESES BANCA AUTOMATIC</t>
  </si>
  <si>
    <t>TRANSFERENCIA BANCA AUTOMATIC</t>
  </si>
  <si>
    <t>A CUENTA BANCA AUTOMATIC</t>
  </si>
  <si>
    <t>Lentes G EFECTIVO REDE</t>
  </si>
  <si>
    <t>PAGVAR BANCA AUTOMATIC</t>
  </si>
  <si>
    <t>pago comisión G EFECTIVO REDE</t>
  </si>
  <si>
    <t>EFECTIVO OF G CHALACA</t>
  </si>
  <si>
    <t>TRANS. DE CTA. 001101600200220960</t>
  </si>
  <si>
    <t>DEPOSITO DE MES DE SETIEMBRE</t>
  </si>
  <si>
    <t>44052438 G EFECTIVO REDE</t>
  </si>
  <si>
    <t>APORTES CARTA FIANZA</t>
  </si>
  <si>
    <t>PACIFICO BANCA AUTOMATIC</t>
  </si>
  <si>
    <t>INSCRIPCION PETIT THOUARS</t>
  </si>
  <si>
    <t>Transf.Recib.CCE-220   0000455 1301170019</t>
  </si>
  <si>
    <t>COD. - 28681 DEVOLUCÓN 2202170006</t>
  </si>
  <si>
    <t>EFECTIVO00000000012841</t>
  </si>
  <si>
    <t>NOTA DE DEBITO</t>
  </si>
  <si>
    <t>DEVOL X PAGO DTRACCION</t>
  </si>
  <si>
    <t>TRANSF DE OTRA CTA</t>
  </si>
  <si>
    <t xml:space="preserve">ENTR.EFEC. </t>
  </si>
  <si>
    <t xml:space="preserve">TRANSF DE OTRA CTA </t>
  </si>
  <si>
    <t>TRANSF.BCO.CONTINENTAL</t>
  </si>
  <si>
    <t>ENTRE EFECT 0716074 CIM 9.71</t>
  </si>
  <si>
    <t>CHEQUE POR CONFIRMAR</t>
  </si>
  <si>
    <t>ENTREGA C/CHEQUES FUE</t>
  </si>
  <si>
    <t>TRANSF.BCO.SCOTIABANK</t>
  </si>
  <si>
    <t>DEVOLUCION DE INT/COM.</t>
  </si>
  <si>
    <t>DE OTRA CUENTA</t>
  </si>
  <si>
    <t>TRANSF OTRA CUENTA</t>
  </si>
  <si>
    <t>TRF. DE: 0020775-1-2-003 Pago de prestamos</t>
  </si>
  <si>
    <t>TT CUENTAS</t>
  </si>
  <si>
    <t>1982619PYINTEREST RATMERC</t>
  </si>
  <si>
    <t>PAGO INTERESES PRESTAMO PACIFICO</t>
  </si>
  <si>
    <t>INTERESES COOPERATIVA</t>
  </si>
  <si>
    <t>FACTURA 23 BANCA AUTOMATIC</t>
  </si>
  <si>
    <t>DEVOLUCION BANCA AUTOMATIC</t>
  </si>
  <si>
    <t>PAGO DE COMISION COOP PACIFICO CF</t>
  </si>
  <si>
    <t>COOP DE AHORRO PACIFICO 35124</t>
  </si>
  <si>
    <t>COOPERATIVA PACIFICO 36695</t>
  </si>
  <si>
    <t>825650</t>
  </si>
  <si>
    <t>DNI 40945836 OF.LA MARINA</t>
  </si>
  <si>
    <t>73568760 G EFECTIVO REDE</t>
  </si>
  <si>
    <t>DONGO SANCHEZ TIRADO, SYLVIA I</t>
  </si>
  <si>
    <t>LOPEZ SUCCAR, ANA LUISA</t>
  </si>
  <si>
    <t>NAMISATO NAKASONE, CARLOS ALFR</t>
  </si>
  <si>
    <t>RODRIGUEZ VILLANUEVA, THALIA M</t>
  </si>
  <si>
    <t>ADAUTO DIAZ, ABELARDO MANUEL</t>
  </si>
  <si>
    <t>TOVAR MENA, EDUARDO ALFONSO</t>
  </si>
  <si>
    <t>MAZUELOS ALVARADO, JOSE ANTONI</t>
  </si>
  <si>
    <t>IMPORTE2</t>
  </si>
  <si>
    <t>GLOSA2</t>
  </si>
  <si>
    <t>PARA SCOTIABANK</t>
  </si>
  <si>
    <t>PERIODOCAJA2</t>
  </si>
  <si>
    <t>NUMEROCAJA2</t>
  </si>
  <si>
    <t>Enero</t>
  </si>
  <si>
    <t>Diciembre</t>
  </si>
  <si>
    <t>Noviembre</t>
  </si>
  <si>
    <t>Agosto</t>
  </si>
  <si>
    <t>Marzo</t>
  </si>
  <si>
    <t>Abril</t>
  </si>
  <si>
    <t>Julio</t>
  </si>
  <si>
    <t>Junio</t>
  </si>
  <si>
    <t>Octubre</t>
  </si>
  <si>
    <t>Febrero</t>
  </si>
  <si>
    <t>Septiembre</t>
  </si>
  <si>
    <t>Mayo</t>
  </si>
  <si>
    <t>SI</t>
  </si>
  <si>
    <t xml:space="preserve"> </t>
  </si>
  <si>
    <t>TOTAL</t>
  </si>
  <si>
    <t>RECAUDACIONES BANCA AUTOMATIC</t>
  </si>
  <si>
    <t>Suma de IMPORTE</t>
  </si>
  <si>
    <t>IMPORTE</t>
  </si>
  <si>
    <t>Soles</t>
  </si>
  <si>
    <t>Dolares</t>
  </si>
  <si>
    <t>Tipo de Cambio</t>
  </si>
  <si>
    <t>Suma de CONSOLIDADO</t>
  </si>
  <si>
    <t>IDENTIFICABLES</t>
  </si>
  <si>
    <t>#</t>
  </si>
  <si>
    <t>Periodo</t>
  </si>
  <si>
    <t>Monto Total</t>
  </si>
  <si>
    <t>Monto Consolidado a Soles</t>
  </si>
  <si>
    <t>Identificables</t>
  </si>
  <si>
    <t>Si</t>
  </si>
  <si>
    <t>No</t>
  </si>
  <si>
    <t>Total</t>
  </si>
  <si>
    <t>AREA</t>
  </si>
  <si>
    <t>COMERCIAL</t>
  </si>
  <si>
    <t>SIN DEFINIR</t>
  </si>
  <si>
    <t>Scotiabank</t>
  </si>
  <si>
    <t>Banco Internacional del Peru - INTERBANK</t>
  </si>
  <si>
    <t>Banco Continental</t>
  </si>
  <si>
    <t>BCR</t>
  </si>
  <si>
    <t>Banco Interamericano de Finanzas</t>
  </si>
  <si>
    <t>Banco de Credito del Peru</t>
  </si>
  <si>
    <t>transferencia de fondos</t>
  </si>
  <si>
    <t>Aelucoop</t>
  </si>
  <si>
    <t>Banco Santander</t>
  </si>
  <si>
    <t>fondos</t>
  </si>
  <si>
    <t xml:space="preserve">AA </t>
  </si>
  <si>
    <t>ABONO RECEP. TRANSF.</t>
  </si>
  <si>
    <t>PAGO RECAUDACIONES</t>
  </si>
  <si>
    <t>CREDITO MISC.</t>
  </si>
  <si>
    <t>TBK-TRF.CTAS PROPIAS</t>
  </si>
  <si>
    <t>SCOTIA</t>
  </si>
  <si>
    <t>IBK</t>
  </si>
  <si>
    <t>BBVA</t>
  </si>
  <si>
    <t>BANBIF</t>
  </si>
  <si>
    <t>BCP</t>
  </si>
  <si>
    <t>AELU</t>
  </si>
  <si>
    <t>SANTANDER</t>
  </si>
  <si>
    <t>BANCO CORTO</t>
  </si>
  <si>
    <t>COLABORADOR</t>
  </si>
  <si>
    <t>GLOSA</t>
  </si>
  <si>
    <t>LA ROSA FONSECA, JOSE ANTONIO</t>
  </si>
  <si>
    <t>20330208300 - PROTEMAX S.R.LTDA.</t>
  </si>
  <si>
    <t>20418767279 - NEGOCIACIONES HAROL S E.I.R.L.</t>
  </si>
  <si>
    <t>OUTSOURCING ASOCIADOS ALMA S A</t>
  </si>
  <si>
    <t>GATTI VIGO, SHELBY RUTH</t>
  </si>
  <si>
    <t>BALLON SALCEDO, CLAUDIA ELENA</t>
  </si>
  <si>
    <t>TALAVERA GONZALES, JORGE LUIS</t>
  </si>
  <si>
    <t>EXTORNO</t>
  </si>
  <si>
    <t>DE INGENIERIA DEL CALZ</t>
  </si>
  <si>
    <t>JAVIER GOGIN</t>
  </si>
  <si>
    <t>ARTURO F.</t>
  </si>
  <si>
    <t>TRAN.CTAS.TERC.</t>
  </si>
  <si>
    <t>TRANSFEREN DE TERCEROS</t>
  </si>
  <si>
    <t>CUOTA BANCA AUTOMATIC</t>
  </si>
  <si>
    <t>INSCRIPCION Y APORTE DE SOCIO</t>
  </si>
  <si>
    <t>DEPOSITO EFECTIVO</t>
  </si>
  <si>
    <t xml:space="preserve">DEP EFECT </t>
  </si>
  <si>
    <t>DEP.EFECTI</t>
  </si>
  <si>
    <t>GASTVAR BANCA AUTOMATIC</t>
  </si>
  <si>
    <t>202001</t>
  </si>
  <si>
    <t>202003</t>
  </si>
  <si>
    <t>202004</t>
  </si>
  <si>
    <t>202005</t>
  </si>
  <si>
    <t>201911</t>
  </si>
  <si>
    <t>201912</t>
  </si>
  <si>
    <t>202007</t>
  </si>
  <si>
    <t>202006</t>
  </si>
  <si>
    <t>202002</t>
  </si>
  <si>
    <t>3772860</t>
  </si>
  <si>
    <t>3707531</t>
  </si>
  <si>
    <t>3091048</t>
  </si>
  <si>
    <t>3100540</t>
  </si>
  <si>
    <t>3259972</t>
  </si>
  <si>
    <t>3403978</t>
  </si>
  <si>
    <t>3150051</t>
  </si>
  <si>
    <t>201910</t>
  </si>
  <si>
    <t>3349221</t>
  </si>
  <si>
    <t>3490190</t>
  </si>
  <si>
    <t>3687994</t>
  </si>
  <si>
    <t>3004376</t>
  </si>
  <si>
    <t>3777609</t>
  </si>
  <si>
    <t>3722313</t>
  </si>
  <si>
    <t>3789317</t>
  </si>
  <si>
    <t>3789318</t>
  </si>
  <si>
    <t>3780157</t>
  </si>
  <si>
    <t>3719766</t>
  </si>
  <si>
    <t>3777010</t>
  </si>
  <si>
    <t>3475643</t>
  </si>
  <si>
    <t>3538512</t>
  </si>
  <si>
    <t>3477357</t>
  </si>
  <si>
    <t>3681248</t>
  </si>
  <si>
    <t>3613343</t>
  </si>
  <si>
    <t>3580215</t>
  </si>
  <si>
    <t>3766528</t>
  </si>
  <si>
    <t>Banco Pichincha</t>
  </si>
  <si>
    <t>CANCELACION DE DEPOSITO A PLAZO</t>
  </si>
  <si>
    <t>3738565</t>
  </si>
  <si>
    <t>3135177</t>
  </si>
  <si>
    <t>3593090</t>
  </si>
  <si>
    <t>3644924</t>
  </si>
  <si>
    <t>3616056</t>
  </si>
  <si>
    <t>3537201</t>
  </si>
  <si>
    <t>3429148</t>
  </si>
  <si>
    <t>PICHINCHA</t>
  </si>
  <si>
    <t>PICOAGA LINARES, JOSE ANTONIO</t>
  </si>
  <si>
    <t>MORALES ALARCON, PATRICIA</t>
  </si>
  <si>
    <t>ARCOS OGATA, NICOLAS HIROMI</t>
  </si>
  <si>
    <t>CHUMO QUINTANA, MARIA PIA</t>
  </si>
  <si>
    <t>COLEGIO SAN JOSE DE CLUNY</t>
  </si>
  <si>
    <t>HUAREZ REYES, AURELIO MAXIMO A</t>
  </si>
  <si>
    <t>CRUZADO BINDA, OSCAR ANTONIO</t>
  </si>
  <si>
    <t>LUNA QUISPE, JEMIFERT NATALI</t>
  </si>
  <si>
    <t>CORONADO OLCESE, MARIA GRACIA</t>
  </si>
  <si>
    <t>POVES QUIÑONES, JOSE ALFREDO</t>
  </si>
  <si>
    <t>SILVERA CHUJUTALLI, CECILIA CARLA</t>
  </si>
  <si>
    <t>PONCE TERASIMA, PATRICIA NIEVE</t>
  </si>
  <si>
    <t>ESTRELLA ANTIALON, ROWALT NICEFORO</t>
  </si>
  <si>
    <t>ROBLES MATALLANA, JENNIFER MIRELLA</t>
  </si>
  <si>
    <t>VALCARCEL VALENTIN, CLAUDIA SO</t>
  </si>
  <si>
    <t>CAVANI SALAZAR, ELIZABETH CRIS</t>
  </si>
  <si>
    <t>KAWAMURA FU, AILI KEI</t>
  </si>
  <si>
    <t>CONCA FLORES, YAMY NICOLL</t>
  </si>
  <si>
    <t>CASTILLO MIYASAKI, IRENE</t>
  </si>
  <si>
    <t>MADRID GUEVARA, ROSA KATHERINE</t>
  </si>
  <si>
    <t>CACERES KARI, ALEXANDER VICENT</t>
  </si>
  <si>
    <t xml:space="preserve">	GARCIA TELLEZ, DORA LUZ</t>
  </si>
  <si>
    <t>DENEGRI BOZA, MARIA CECILIA LA</t>
  </si>
  <si>
    <t>ACOSTA VILLANUEVA, MONICA LESL</t>
  </si>
  <si>
    <t>DEL RISCO REPORTS E.I.R.L.</t>
  </si>
  <si>
    <t>TRANSFER BPI</t>
  </si>
  <si>
    <t>PRESTAMOS JUNIO 2020</t>
  </si>
  <si>
    <t>INT. PREST. COOP PACIFICO 8K</t>
  </si>
  <si>
    <t>INT. 61MIL</t>
  </si>
  <si>
    <t>PAGO CUOTA CUOTA 03 BANCA AUTOMATIC</t>
  </si>
  <si>
    <t>PAGO CUOTA 20VECNCCH</t>
  </si>
  <si>
    <t>PAGO CUOTA VENC 20MARZCCH</t>
  </si>
  <si>
    <t>PAGO POR 12 MESES ANO 2020</t>
  </si>
  <si>
    <t>REGULARIZACION 6 MESES 2019</t>
  </si>
  <si>
    <t>CUOTA TERCEROS 04-2020</t>
  </si>
  <si>
    <t>A-110 OF. LA PLANICIE</t>
  </si>
  <si>
    <t>PAGO 4 PRESTAMO COOP PACIFICO</t>
  </si>
  <si>
    <t>DEP PB 011 N.00010308 DISP 00</t>
  </si>
  <si>
    <t>ABONO PROVEEDORES 20492836282</t>
  </si>
  <si>
    <t>TRANSF.BCO.NACION</t>
  </si>
  <si>
    <t>CONTINEN99999999999999</t>
  </si>
  <si>
    <t>TRANSF.BCO.INTERAMERIC</t>
  </si>
  <si>
    <t>DEPOSITO     000174035</t>
  </si>
  <si>
    <t>PAGO PRESTAMO 15/ 000545368545</t>
  </si>
  <si>
    <t>2DA CUOTA PRESTAM 000545370442</t>
  </si>
  <si>
    <t>TRANSF.CTA. 000296000425315100</t>
  </si>
  <si>
    <t>000310915490</t>
  </si>
  <si>
    <t>CUOTA PACIFICO    000545368545</t>
  </si>
  <si>
    <t>DEPOSITO     000102332</t>
  </si>
  <si>
    <t>TRANSF CTAS 000310915490</t>
  </si>
  <si>
    <t>COOP.PACIFICO DOLARES</t>
  </si>
  <si>
    <t>COOPERATIVA PACIFICO</t>
  </si>
  <si>
    <t>CUOTA 16 VCTO. 20.08.20</t>
  </si>
  <si>
    <t>CUOTA 15 VCTO. 20.07.20</t>
  </si>
  <si>
    <t>TRANSFERENCIA BANCARIA</t>
  </si>
  <si>
    <t>581-00022525 BANCA AUTOMATIC</t>
  </si>
  <si>
    <t>COOPERATIVA DE AHORRO Y CREDITO PAC</t>
  </si>
  <si>
    <t>CUOTA JULIO BANCA AUTOMATIC</t>
  </si>
  <si>
    <t>PAGO PRESTAMO 2 CUOTA 15 COOPERATIV</t>
  </si>
  <si>
    <t>PAGO CUOTA PRESTAMO 1 COOPERATIVA</t>
  </si>
  <si>
    <t>DEVOL. PAGO 004081</t>
  </si>
  <si>
    <t>AB.TR.EXT-</t>
  </si>
  <si>
    <t>DE COOPERATIVA DE AHOR</t>
  </si>
  <si>
    <t>COBRANZA JUNIO 2020 BANCA AUTOMATIC</t>
  </si>
  <si>
    <t>DESCUENTO PRESTAMOS JUNIO 2020</t>
  </si>
  <si>
    <t>0200246 G EFECTIVO REDE</t>
  </si>
  <si>
    <t>MES JUNIO 2020 BANCA AUTOMATIC</t>
  </si>
  <si>
    <t>44605872 G EFECTIVO REDE</t>
  </si>
  <si>
    <t>CUOTA TERCEROS 06-2020</t>
  </si>
  <si>
    <t>DEP PB 011 N.00010395 DISP 00</t>
  </si>
  <si>
    <t>REVERSION DE FONDOS CHQ.GER</t>
  </si>
  <si>
    <t>COPERATIVA DE AHORRO Y CREDITO</t>
  </si>
  <si>
    <t>A 13529-1-2009 KYODAI</t>
  </si>
  <si>
    <t>COOP DE AHORRO Y C PACF-CONV TRAB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</si>
</sst>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yyyy\-mm\-dd"/>
    <numFmt numFmtId="166" formatCode="&quot;S/.&quot;\ #,##0"/>
    <numFmt numFmtId="167" formatCode="[$USD]\ #,##0"/>
  </numFmts>
  <fonts count="24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8" fillId="0" borderId="0" applyFont="0" applyFill="0" applyBorder="0" applyAlignment="0" applyProtection="0"/>
  </cellStyleXfs>
  <cellXfs count="36">
    <xf numFmtId="0" fontId="0" fillId="0" borderId="0" xfId="0"/>
    <xf numFmtId="0" fontId="0" fillId="33" borderId="0" xfId="0" applyFont="1" applyFill="1"/>
    <xf numFmtId="14" fontId="0" fillId="0" borderId="0" xfId="0" applyNumberFormat="1"/>
    <xf numFmtId="164" fontId="0" fillId="0" borderId="0" xfId="42" applyFont="1"/>
    <xf numFmtId="0" fontId="0" fillId="0" borderId="0" xfId="0" applyFont="1"/>
    <xf numFmtId="0" fontId="19" fillId="0" borderId="0" xfId="0" applyFont="1"/>
    <xf numFmtId="165" fontId="0" fillId="0" borderId="0" xfId="0" applyNumberFormat="1"/>
    <xf numFmtId="14" fontId="0" fillId="0" borderId="0" xfId="0" applyNumberFormat="1" applyFont="1" applyFill="1"/>
    <xf numFmtId="0" fontId="0" fillId="0" borderId="0" xfId="0" applyFont="1" applyFill="1"/>
    <xf numFmtId="164" fontId="0" fillId="0" borderId="0" xfId="4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0" fillId="34" borderId="0" xfId="0" applyFont="1" applyFill="1"/>
    <xf numFmtId="0" fontId="20" fillId="3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1" fillId="0" borderId="0" xfId="0" applyFont="1" applyFill="1"/>
    <xf numFmtId="0" fontId="20" fillId="34" borderId="0" xfId="0" applyFont="1" applyFill="1" applyAlignment="1">
      <alignment horizontal="center"/>
    </xf>
    <xf numFmtId="49" fontId="0" fillId="33" borderId="0" xfId="0" applyNumberFormat="1" applyFont="1" applyFill="1"/>
    <xf numFmtId="49" fontId="0" fillId="0" borderId="0" xfId="0" applyNumberFormat="1" applyFont="1"/>
    <xf numFmtId="49" fontId="0" fillId="0" borderId="0" xfId="0" applyNumberFormat="1"/>
    <xf numFmtId="0" fontId="0" fillId="0" borderId="0" xfId="0" applyAlignment="1">
      <alignment horizontal="right"/>
    </xf>
    <xf numFmtId="164" fontId="0" fillId="0" borderId="0" xfId="42" applyFont="1" applyAlignment="1">
      <alignment horizontal="right"/>
    </xf>
    <xf numFmtId="166" fontId="0" fillId="0" borderId="0" xfId="0" applyNumberFormat="1" applyAlignment="1">
      <alignment horizontal="right"/>
    </xf>
    <xf numFmtId="164" fontId="20" fillId="34" borderId="0" xfId="42" applyFont="1" applyFill="1" applyAlignment="1">
      <alignment horizontal="center"/>
    </xf>
    <xf numFmtId="167" fontId="0" fillId="0" borderId="0" xfId="0" applyNumberFormat="1" applyAlignment="1">
      <alignment horizontal="right"/>
    </xf>
    <xf numFmtId="0" fontId="20" fillId="34" borderId="10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 wrapText="1"/>
    </xf>
    <xf numFmtId="0" fontId="0" fillId="35" borderId="0" xfId="0" applyFill="1"/>
    <xf numFmtId="0" fontId="21" fillId="33" borderId="0" xfId="0" applyFont="1" applyFill="1"/>
    <xf numFmtId="165" fontId="21" fillId="33" borderId="0" xfId="0" applyNumberFormat="1" applyFont="1" applyFill="1"/>
    <xf numFmtId="164" fontId="21" fillId="33" borderId="0" xfId="42" applyFont="1" applyFill="1"/>
    <xf numFmtId="0" fontId="21" fillId="36" borderId="0" xfId="0" applyFont="1" applyFill="1"/>
    <xf numFmtId="0" fontId="20" fillId="34" borderId="10" xfId="0" applyFont="1" applyFill="1" applyBorder="1" applyAlignment="1">
      <alignment horizontal="center" vertical="center"/>
    </xf>
    <xf numFmtId="0" fontId="20" fillId="34" borderId="0" xfId="0" applyFont="1" applyFill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illares" xfId="42" builtinId="3"/>
    <cellStyle name="Neutral" xfId="8" builtinId="28" customBuiltin="1"/>
    <cellStyle name="Normal" xfId="0" builtinId="0" customBuiltin="1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3">
    <dxf>
      <alignment horizontal="center" readingOrder="0"/>
    </dxf>
    <dxf>
      <alignment horizontal="center" readingOrder="0"/>
    </dxf>
    <dxf>
      <alignment horizontal="center" readingOrder="0"/>
    </dxf>
    <dxf>
      <numFmt numFmtId="167" formatCode="[$USD]\ #,##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numFmt numFmtId="166" formatCode="&quot;S/.&quot;\ #,##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&quot;S/.&quot;\ #,##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8" formatCode="_-[$$-409]* #,##0.00_ ;_-[$$-409]* \-#,##0.00\ ;_-[$$-409]* &quot;-&quot;??_ ;_-@_ "/>
    </dxf>
    <dxf>
      <numFmt numFmtId="169" formatCode="_ &quot;S/.&quot;\ * #,##0.00_ ;_ &quot;S/.&quot;\ * \-#,##0.00_ ;_ &quot;S/.&quot;\ * &quot;-&quot;??_ ;_ @_ "/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[CONC_DET_OPE_XID_MACRO.xlsm]G_Responsable!Tabla 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por Responsable de los depósitos NO CONCILIADOS e </a:t>
            </a:r>
            <a:r>
              <a:rPr lang="en-US" sz="1400" b="0" i="0" u="none" strike="noStrike" baseline="0">
                <a:effectLst/>
              </a:rPr>
              <a:t>Identificables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G_Responsable!$B$4:$B$5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G_Responsable!$A$6:$A$8</c:f>
              <c:strCache>
                <c:ptCount val="2"/>
                <c:pt idx="0">
                  <c:v>COMERCIAL</c:v>
                </c:pt>
                <c:pt idx="1">
                  <c:v>SIN DEFINIR</c:v>
                </c:pt>
              </c:strCache>
            </c:strRef>
          </c:cat>
          <c:val>
            <c:numRef>
              <c:f>G_Responsable!$B$6:$B$8</c:f>
              <c:numCache>
                <c:formatCode>General</c:formatCode>
                <c:ptCount val="2"/>
                <c:pt idx="0">
                  <c:v>2</c:v>
                </c:pt>
                <c:pt idx="1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A-435F-B513-2F2BA2106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895104"/>
        <c:axId val="516895496"/>
      </c:barChart>
      <c:catAx>
        <c:axId val="516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6895496"/>
        <c:crosses val="autoZero"/>
        <c:auto val="1"/>
        <c:lblAlgn val="ctr"/>
        <c:lblOffset val="100"/>
        <c:noMultiLvlLbl val="0"/>
      </c:catAx>
      <c:valAx>
        <c:axId val="51689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6895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[CONC_DET_OPE_XID_MACRO.xlsm]G_Consolidado!Tabla 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Monto Total Consolidado a Soles por periodo</a:t>
            </a:r>
            <a:r>
              <a:rPr lang="en-US" b="1" baseline="0"/>
              <a:t> mensual</a:t>
            </a:r>
            <a:r>
              <a:rPr lang="en-US" b="1"/>
              <a:t> de los depósitos NO CONCILIADOS e </a:t>
            </a:r>
            <a:r>
              <a:rPr lang="en-US" sz="1400" b="1" i="0" u="none" strike="noStrike" baseline="0">
                <a:effectLst/>
              </a:rPr>
              <a:t>Identificables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197424208613605E-2"/>
          <c:y val="0.11103653668053226"/>
          <c:w val="0.90195777147289791"/>
          <c:h val="0.669531748117698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G_Consolidado!$B$4:$B$6</c:f>
              <c:strCache>
                <c:ptCount val="1"/>
                <c:pt idx="0">
                  <c:v>SI -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G_Consolidado!$A$7:$A$38</c:f>
              <c:multiLvlStrCache>
                <c:ptCount val="28"/>
                <c:lvl>
                  <c:pt idx="0">
                    <c:v>Enero</c:v>
                  </c:pt>
                  <c:pt idx="1">
                    <c:v>Marzo</c:v>
                  </c:pt>
                  <c:pt idx="2">
                    <c:v>Abril</c:v>
                  </c:pt>
                  <c:pt idx="3">
                    <c:v>Junio</c:v>
                  </c:pt>
                  <c:pt idx="4">
                    <c:v>Julio</c:v>
                  </c:pt>
                  <c:pt idx="5">
                    <c:v>Agosto</c:v>
                  </c:pt>
                  <c:pt idx="6">
                    <c:v>Octubre</c:v>
                  </c:pt>
                  <c:pt idx="7">
                    <c:v>Noviembre</c:v>
                  </c:pt>
                  <c:pt idx="8">
                    <c:v>Diciembre</c:v>
                  </c:pt>
                  <c:pt idx="9">
                    <c:v>Febrero</c:v>
                  </c:pt>
                  <c:pt idx="10">
                    <c:v>Abril</c:v>
                  </c:pt>
                  <c:pt idx="11">
                    <c:v>Mayo</c:v>
                  </c:pt>
                  <c:pt idx="12">
                    <c:v>Junio</c:v>
                  </c:pt>
                  <c:pt idx="13">
                    <c:v>Julio</c:v>
                  </c:pt>
                  <c:pt idx="14">
                    <c:v>Agosto</c:v>
                  </c:pt>
                  <c:pt idx="15">
                    <c:v>Septiembre</c:v>
                  </c:pt>
                  <c:pt idx="16">
                    <c:v>Octubre</c:v>
                  </c:pt>
                  <c:pt idx="17">
                    <c:v>Noviembre</c:v>
                  </c:pt>
                  <c:pt idx="18">
                    <c:v>Diciembre</c:v>
                  </c:pt>
                  <c:pt idx="19">
                    <c:v>Enero</c:v>
                  </c:pt>
                  <c:pt idx="20">
                    <c:v>Febrero</c:v>
                  </c:pt>
                  <c:pt idx="21">
                    <c:v>Marzo</c:v>
                  </c:pt>
                  <c:pt idx="22">
                    <c:v>Abril</c:v>
                  </c:pt>
                  <c:pt idx="23">
                    <c:v>Mayo</c:v>
                  </c:pt>
                  <c:pt idx="24">
                    <c:v>Junio</c:v>
                  </c:pt>
                  <c:pt idx="25">
                    <c:v>Julio</c:v>
                  </c:pt>
                  <c:pt idx="26">
                    <c:v>Agosto</c:v>
                  </c:pt>
                  <c:pt idx="27">
                    <c:v>Septiembre</c:v>
                  </c:pt>
                </c:lvl>
                <c:lvl>
                  <c:pt idx="0">
                    <c:v>2017</c:v>
                  </c:pt>
                  <c:pt idx="9">
                    <c:v>2018</c:v>
                  </c:pt>
                  <c:pt idx="19">
                    <c:v>2019</c:v>
                  </c:pt>
                </c:lvl>
              </c:multiLvlStrCache>
            </c:multiLvlStrRef>
          </c:cat>
          <c:val>
            <c:numRef>
              <c:f>G_Consolidado!$B$7:$B$38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9</c:v>
                </c:pt>
                <c:pt idx="20">
                  <c:v>7</c:v>
                </c:pt>
                <c:pt idx="21">
                  <c:v>14</c:v>
                </c:pt>
                <c:pt idx="22">
                  <c:v>16</c:v>
                </c:pt>
                <c:pt idx="23">
                  <c:v>10</c:v>
                </c:pt>
                <c:pt idx="24">
                  <c:v>18</c:v>
                </c:pt>
                <c:pt idx="25">
                  <c:v>12</c:v>
                </c:pt>
                <c:pt idx="26">
                  <c:v>27</c:v>
                </c:pt>
                <c:pt idx="2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4-4F1D-8AB9-063F3C63CC5F}"/>
            </c:ext>
          </c:extLst>
        </c:ser>
        <c:ser>
          <c:idx val="1"/>
          <c:order val="1"/>
          <c:tx>
            <c:strRef>
              <c:f>G_Consolidado!$C$4:$C$6</c:f>
              <c:strCache>
                <c:ptCount val="1"/>
                <c:pt idx="0">
                  <c:v>SI - Suma de CONSOLIDADO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G_Consolidado!$A$7:$A$38</c:f>
              <c:multiLvlStrCache>
                <c:ptCount val="28"/>
                <c:lvl>
                  <c:pt idx="0">
                    <c:v>Enero</c:v>
                  </c:pt>
                  <c:pt idx="1">
                    <c:v>Marzo</c:v>
                  </c:pt>
                  <c:pt idx="2">
                    <c:v>Abril</c:v>
                  </c:pt>
                  <c:pt idx="3">
                    <c:v>Junio</c:v>
                  </c:pt>
                  <c:pt idx="4">
                    <c:v>Julio</c:v>
                  </c:pt>
                  <c:pt idx="5">
                    <c:v>Agosto</c:v>
                  </c:pt>
                  <c:pt idx="6">
                    <c:v>Octubre</c:v>
                  </c:pt>
                  <c:pt idx="7">
                    <c:v>Noviembre</c:v>
                  </c:pt>
                  <c:pt idx="8">
                    <c:v>Diciembre</c:v>
                  </c:pt>
                  <c:pt idx="9">
                    <c:v>Febrero</c:v>
                  </c:pt>
                  <c:pt idx="10">
                    <c:v>Abril</c:v>
                  </c:pt>
                  <c:pt idx="11">
                    <c:v>Mayo</c:v>
                  </c:pt>
                  <c:pt idx="12">
                    <c:v>Junio</c:v>
                  </c:pt>
                  <c:pt idx="13">
                    <c:v>Julio</c:v>
                  </c:pt>
                  <c:pt idx="14">
                    <c:v>Agosto</c:v>
                  </c:pt>
                  <c:pt idx="15">
                    <c:v>Septiembre</c:v>
                  </c:pt>
                  <c:pt idx="16">
                    <c:v>Octubre</c:v>
                  </c:pt>
                  <c:pt idx="17">
                    <c:v>Noviembre</c:v>
                  </c:pt>
                  <c:pt idx="18">
                    <c:v>Diciembre</c:v>
                  </c:pt>
                  <c:pt idx="19">
                    <c:v>Enero</c:v>
                  </c:pt>
                  <c:pt idx="20">
                    <c:v>Febrero</c:v>
                  </c:pt>
                  <c:pt idx="21">
                    <c:v>Marzo</c:v>
                  </c:pt>
                  <c:pt idx="22">
                    <c:v>Abril</c:v>
                  </c:pt>
                  <c:pt idx="23">
                    <c:v>Mayo</c:v>
                  </c:pt>
                  <c:pt idx="24">
                    <c:v>Junio</c:v>
                  </c:pt>
                  <c:pt idx="25">
                    <c:v>Julio</c:v>
                  </c:pt>
                  <c:pt idx="26">
                    <c:v>Agosto</c:v>
                  </c:pt>
                  <c:pt idx="27">
                    <c:v>Septiembre</c:v>
                  </c:pt>
                </c:lvl>
                <c:lvl>
                  <c:pt idx="0">
                    <c:v>2017</c:v>
                  </c:pt>
                  <c:pt idx="9">
                    <c:v>2018</c:v>
                  </c:pt>
                  <c:pt idx="19">
                    <c:v>2019</c:v>
                  </c:pt>
                </c:lvl>
              </c:multiLvlStrCache>
            </c:multiLvlStrRef>
          </c:cat>
          <c:val>
            <c:numRef>
              <c:f>G_Consolidado!$C$7:$C$38</c:f>
              <c:numCache>
                <c:formatCode>"S/."\ #,##0</c:formatCode>
                <c:ptCount val="28"/>
                <c:pt idx="0">
                  <c:v>7686.02</c:v>
                </c:pt>
                <c:pt idx="1">
                  <c:v>832.31000000000006</c:v>
                </c:pt>
                <c:pt idx="2">
                  <c:v>4121.8</c:v>
                </c:pt>
                <c:pt idx="3">
                  <c:v>1220</c:v>
                </c:pt>
                <c:pt idx="4">
                  <c:v>303.59949999999998</c:v>
                </c:pt>
                <c:pt idx="5">
                  <c:v>102</c:v>
                </c:pt>
                <c:pt idx="6">
                  <c:v>16272.99</c:v>
                </c:pt>
                <c:pt idx="7">
                  <c:v>350</c:v>
                </c:pt>
                <c:pt idx="8">
                  <c:v>460</c:v>
                </c:pt>
                <c:pt idx="9">
                  <c:v>11980</c:v>
                </c:pt>
                <c:pt idx="10">
                  <c:v>3609.8</c:v>
                </c:pt>
                <c:pt idx="11">
                  <c:v>1311.4807000000001</c:v>
                </c:pt>
                <c:pt idx="12">
                  <c:v>600</c:v>
                </c:pt>
                <c:pt idx="13">
                  <c:v>996.85</c:v>
                </c:pt>
                <c:pt idx="14">
                  <c:v>15365.24</c:v>
                </c:pt>
                <c:pt idx="15">
                  <c:v>212.98400000000001</c:v>
                </c:pt>
                <c:pt idx="16">
                  <c:v>25955.868200000001</c:v>
                </c:pt>
                <c:pt idx="17">
                  <c:v>23844.65</c:v>
                </c:pt>
                <c:pt idx="18">
                  <c:v>20133.406400000003</c:v>
                </c:pt>
                <c:pt idx="19">
                  <c:v>14764.32</c:v>
                </c:pt>
                <c:pt idx="20">
                  <c:v>69899.11</c:v>
                </c:pt>
                <c:pt idx="21">
                  <c:v>3984.6710999999996</c:v>
                </c:pt>
                <c:pt idx="22">
                  <c:v>18151.962299999999</c:v>
                </c:pt>
                <c:pt idx="23">
                  <c:v>10679.95</c:v>
                </c:pt>
                <c:pt idx="24">
                  <c:v>30867.649999999998</c:v>
                </c:pt>
                <c:pt idx="25">
                  <c:v>25138.313999999998</c:v>
                </c:pt>
                <c:pt idx="26">
                  <c:v>70727.193600000013</c:v>
                </c:pt>
                <c:pt idx="27">
                  <c:v>411655.72969999997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4-4F1D-8AB9-063F3C63C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7601744"/>
        <c:axId val="517602136"/>
      </c:barChart>
      <c:catAx>
        <c:axId val="51760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7602136"/>
        <c:crosses val="autoZero"/>
        <c:auto val="1"/>
        <c:lblAlgn val="ctr"/>
        <c:lblOffset val="100"/>
        <c:noMultiLvlLbl val="0"/>
      </c:catAx>
      <c:valAx>
        <c:axId val="51760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.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760174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[CONC_DET_OPE_XID_MACRO.xlsm]G_Identificabilidad!Tabla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Estado de Identificabilidad de los depósitos NO CONCILIADOS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G_Identificabilidad!$B$4:$B$5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G_Identificabilidad!$A$6:$A$42</c:f>
              <c:multiLvlStrCache>
                <c:ptCount val="33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G_Identificabilidad!$B$6:$B$42</c:f>
              <c:numCache>
                <c:formatCode>General</c:formatCode>
                <c:ptCount val="3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8</c:v>
                </c:pt>
                <c:pt idx="22">
                  <c:v>4</c:v>
                </c:pt>
                <c:pt idx="23">
                  <c:v>10</c:v>
                </c:pt>
                <c:pt idx="24">
                  <c:v>9</c:v>
                </c:pt>
                <c:pt idx="25">
                  <c:v>7</c:v>
                </c:pt>
                <c:pt idx="26">
                  <c:v>14</c:v>
                </c:pt>
                <c:pt idx="27">
                  <c:v>16</c:v>
                </c:pt>
                <c:pt idx="28">
                  <c:v>10</c:v>
                </c:pt>
                <c:pt idx="29">
                  <c:v>18</c:v>
                </c:pt>
                <c:pt idx="30">
                  <c:v>12</c:v>
                </c:pt>
                <c:pt idx="31">
                  <c:v>27</c:v>
                </c:pt>
                <c:pt idx="3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B-41A4-A383-0542F84EA7AC}"/>
            </c:ext>
          </c:extLst>
        </c:ser>
        <c:ser>
          <c:idx val="1"/>
          <c:order val="1"/>
          <c:tx>
            <c:strRef>
              <c:f>G_Identificabilidad!$C$4:$C$5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G_Identificabilidad!$A$6:$A$42</c:f>
              <c:multiLvlStrCache>
                <c:ptCount val="33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G_Identificabilidad!$C$6:$C$42</c:f>
              <c:numCache>
                <c:formatCode>General</c:formatCode>
                <c:ptCount val="33"/>
                <c:pt idx="0">
                  <c:v>11</c:v>
                </c:pt>
                <c:pt idx="1">
                  <c:v>20</c:v>
                </c:pt>
                <c:pt idx="2">
                  <c:v>24</c:v>
                </c:pt>
                <c:pt idx="3">
                  <c:v>14</c:v>
                </c:pt>
                <c:pt idx="4">
                  <c:v>22</c:v>
                </c:pt>
                <c:pt idx="5">
                  <c:v>9</c:v>
                </c:pt>
                <c:pt idx="6">
                  <c:v>12</c:v>
                </c:pt>
                <c:pt idx="7">
                  <c:v>21</c:v>
                </c:pt>
                <c:pt idx="8">
                  <c:v>34</c:v>
                </c:pt>
                <c:pt idx="9">
                  <c:v>24</c:v>
                </c:pt>
                <c:pt idx="10">
                  <c:v>23</c:v>
                </c:pt>
                <c:pt idx="11">
                  <c:v>34</c:v>
                </c:pt>
                <c:pt idx="12">
                  <c:v>24</c:v>
                </c:pt>
                <c:pt idx="13">
                  <c:v>33</c:v>
                </c:pt>
                <c:pt idx="14">
                  <c:v>11</c:v>
                </c:pt>
                <c:pt idx="15">
                  <c:v>26</c:v>
                </c:pt>
                <c:pt idx="16">
                  <c:v>27</c:v>
                </c:pt>
                <c:pt idx="17">
                  <c:v>19</c:v>
                </c:pt>
                <c:pt idx="18">
                  <c:v>24</c:v>
                </c:pt>
                <c:pt idx="19">
                  <c:v>20</c:v>
                </c:pt>
                <c:pt idx="20">
                  <c:v>15</c:v>
                </c:pt>
                <c:pt idx="21">
                  <c:v>18</c:v>
                </c:pt>
                <c:pt idx="22">
                  <c:v>10</c:v>
                </c:pt>
                <c:pt idx="23">
                  <c:v>38</c:v>
                </c:pt>
                <c:pt idx="24">
                  <c:v>31</c:v>
                </c:pt>
                <c:pt idx="25">
                  <c:v>35</c:v>
                </c:pt>
                <c:pt idx="26">
                  <c:v>46</c:v>
                </c:pt>
                <c:pt idx="27">
                  <c:v>41</c:v>
                </c:pt>
                <c:pt idx="28">
                  <c:v>48</c:v>
                </c:pt>
                <c:pt idx="29">
                  <c:v>29</c:v>
                </c:pt>
                <c:pt idx="30">
                  <c:v>51</c:v>
                </c:pt>
                <c:pt idx="31">
                  <c:v>58</c:v>
                </c:pt>
                <c:pt idx="32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B-41A4-A383-0542F84EA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9565688"/>
        <c:axId val="529566080"/>
      </c:barChart>
      <c:catAx>
        <c:axId val="529565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566080"/>
        <c:crosses val="autoZero"/>
        <c:auto val="1"/>
        <c:lblAlgn val="ctr"/>
        <c:lblOffset val="100"/>
        <c:noMultiLvlLbl val="0"/>
      </c:catAx>
      <c:valAx>
        <c:axId val="5295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5656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[CONC_DET_OPE_XID_MACRO.xlsm]G_Soles!Tabla 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Monto Total por periodo mensual de los depósitos en Soles NO CONCILIADOS e </a:t>
            </a:r>
            <a:r>
              <a:rPr lang="en-US" sz="1400" b="1" i="0" u="none" strike="noStrike" baseline="0">
                <a:effectLst/>
              </a:rPr>
              <a:t>Identificables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G_Soles!$B$5:$B$6</c:f>
              <c:strCache>
                <c:ptCount val="1"/>
                <c:pt idx="0">
                  <c:v>IMPORTE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G_Soles!$A$7:$A$37</c:f>
              <c:multiLvlStrCache>
                <c:ptCount val="27"/>
                <c:lvl>
                  <c:pt idx="0">
                    <c:v>Enero</c:v>
                  </c:pt>
                  <c:pt idx="1">
                    <c:v>Marzo</c:v>
                  </c:pt>
                  <c:pt idx="2">
                    <c:v>Abril</c:v>
                  </c:pt>
                  <c:pt idx="3">
                    <c:v>Junio</c:v>
                  </c:pt>
                  <c:pt idx="4">
                    <c:v>Julio</c:v>
                  </c:pt>
                  <c:pt idx="5">
                    <c:v>Agosto</c:v>
                  </c:pt>
                  <c:pt idx="6">
                    <c:v>Octubre</c:v>
                  </c:pt>
                  <c:pt idx="7">
                    <c:v>Noviembre</c:v>
                  </c:pt>
                  <c:pt idx="8">
                    <c:v>Diciembre</c:v>
                  </c:pt>
                  <c:pt idx="9">
                    <c:v>Febrero</c:v>
                  </c:pt>
                  <c:pt idx="10">
                    <c:v>Abril</c:v>
                  </c:pt>
                  <c:pt idx="11">
                    <c:v>Mayo</c:v>
                  </c:pt>
                  <c:pt idx="12">
                    <c:v>Junio</c:v>
                  </c:pt>
                  <c:pt idx="13">
                    <c:v>Julio</c:v>
                  </c:pt>
                  <c:pt idx="14">
                    <c:v>Agosto</c:v>
                  </c:pt>
                  <c:pt idx="15">
                    <c:v>Octubre</c:v>
                  </c:pt>
                  <c:pt idx="16">
                    <c:v>Noviembre</c:v>
                  </c:pt>
                  <c:pt idx="17">
                    <c:v>Diciembre</c:v>
                  </c:pt>
                  <c:pt idx="18">
                    <c:v>Enero</c:v>
                  </c:pt>
                  <c:pt idx="19">
                    <c:v>Febrero</c:v>
                  </c:pt>
                  <c:pt idx="20">
                    <c:v>Marzo</c:v>
                  </c:pt>
                  <c:pt idx="21">
                    <c:v>Abril</c:v>
                  </c:pt>
                  <c:pt idx="22">
                    <c:v>Mayo</c:v>
                  </c:pt>
                  <c:pt idx="23">
                    <c:v>Junio</c:v>
                  </c:pt>
                  <c:pt idx="24">
                    <c:v>Julio</c:v>
                  </c:pt>
                  <c:pt idx="25">
                    <c:v>Agosto</c:v>
                  </c:pt>
                  <c:pt idx="26">
                    <c:v>Septiembre</c:v>
                  </c:pt>
                </c:lvl>
                <c:lvl>
                  <c:pt idx="0">
                    <c:v>2017</c:v>
                  </c:pt>
                  <c:pt idx="9">
                    <c:v>2018</c:v>
                  </c:pt>
                  <c:pt idx="18">
                    <c:v>2019</c:v>
                  </c:pt>
                </c:lvl>
              </c:multiLvlStrCache>
            </c:multiLvlStrRef>
          </c:cat>
          <c:val>
            <c:numRef>
              <c:f>G_Soles!$B$7:$B$37</c:f>
              <c:numCache>
                <c:formatCode>"S/."\ #,##0</c:formatCode>
                <c:ptCount val="27"/>
                <c:pt idx="0">
                  <c:v>7686.02</c:v>
                </c:pt>
                <c:pt idx="1">
                  <c:v>427.91</c:v>
                </c:pt>
                <c:pt idx="2">
                  <c:v>4121.8</c:v>
                </c:pt>
                <c:pt idx="3">
                  <c:v>1220</c:v>
                </c:pt>
                <c:pt idx="4">
                  <c:v>80</c:v>
                </c:pt>
                <c:pt idx="5">
                  <c:v>102</c:v>
                </c:pt>
                <c:pt idx="6">
                  <c:v>16272.99</c:v>
                </c:pt>
                <c:pt idx="7">
                  <c:v>350</c:v>
                </c:pt>
                <c:pt idx="8">
                  <c:v>460</c:v>
                </c:pt>
                <c:pt idx="9">
                  <c:v>1870</c:v>
                </c:pt>
                <c:pt idx="10">
                  <c:v>408.3</c:v>
                </c:pt>
                <c:pt idx="11">
                  <c:v>886.49</c:v>
                </c:pt>
                <c:pt idx="12">
                  <c:v>600</c:v>
                </c:pt>
                <c:pt idx="13">
                  <c:v>980</c:v>
                </c:pt>
                <c:pt idx="14">
                  <c:v>15365.24</c:v>
                </c:pt>
                <c:pt idx="15">
                  <c:v>18815.309999999998</c:v>
                </c:pt>
                <c:pt idx="16">
                  <c:v>440</c:v>
                </c:pt>
                <c:pt idx="17">
                  <c:v>19689.510000000002</c:v>
                </c:pt>
                <c:pt idx="18">
                  <c:v>14764.32</c:v>
                </c:pt>
                <c:pt idx="19">
                  <c:v>10240</c:v>
                </c:pt>
                <c:pt idx="20">
                  <c:v>3984.5699999999997</c:v>
                </c:pt>
                <c:pt idx="21">
                  <c:v>1670</c:v>
                </c:pt>
                <c:pt idx="22">
                  <c:v>9163.4500000000007</c:v>
                </c:pt>
                <c:pt idx="23">
                  <c:v>23497.46</c:v>
                </c:pt>
                <c:pt idx="24">
                  <c:v>16099.3</c:v>
                </c:pt>
                <c:pt idx="25">
                  <c:v>34940.22</c:v>
                </c:pt>
                <c:pt idx="26">
                  <c:v>154983.69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6-408A-90D1-C91E44844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9567256"/>
        <c:axId val="529764120"/>
      </c:barChart>
      <c:catAx>
        <c:axId val="52956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764120"/>
        <c:crosses val="autoZero"/>
        <c:auto val="1"/>
        <c:lblAlgn val="ctr"/>
        <c:lblOffset val="100"/>
        <c:noMultiLvlLbl val="0"/>
      </c:catAx>
      <c:valAx>
        <c:axId val="52976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.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56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[CONC_DET_OPE_XID_MACRO.xlsm]G_Dolares!Tabla dinámica2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Monto Total por periodo mensual de los depósitos en Dólares NO CONCILIADOS e </a:t>
            </a:r>
            <a:r>
              <a:rPr lang="en-US" sz="1400" b="1" i="0" u="none" strike="noStrike" baseline="0">
                <a:effectLst/>
              </a:rPr>
              <a:t>Identificables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3">
              <a:lumMod val="60000"/>
              <a:lumOff val="40000"/>
            </a:scheme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G_Dolares!$B$5:$B$6</c:f>
              <c:strCache>
                <c:ptCount val="1"/>
                <c:pt idx="0">
                  <c:v>IMPORTE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G_Dolares!$A$7:$A$28</c:f>
              <c:multiLvlStrCache>
                <c:ptCount val="18"/>
                <c:lvl>
                  <c:pt idx="0">
                    <c:v>Marzo</c:v>
                  </c:pt>
                  <c:pt idx="1">
                    <c:v>Julio</c:v>
                  </c:pt>
                  <c:pt idx="2">
                    <c:v>Febrero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Julio</c:v>
                  </c:pt>
                  <c:pt idx="6">
                    <c:v>Septiembre</c:v>
                  </c:pt>
                  <c:pt idx="7">
                    <c:v>Octubre</c:v>
                  </c:pt>
                  <c:pt idx="8">
                    <c:v>Noviembre</c:v>
                  </c:pt>
                  <c:pt idx="9">
                    <c:v>Diciembre</c:v>
                  </c:pt>
                  <c:pt idx="10">
                    <c:v>Febrero</c:v>
                  </c:pt>
                  <c:pt idx="11">
                    <c:v>Marzo</c:v>
                  </c:pt>
                  <c:pt idx="12">
                    <c:v>Abril</c:v>
                  </c:pt>
                  <c:pt idx="13">
                    <c:v>Mayo</c:v>
                  </c:pt>
                  <c:pt idx="14">
                    <c:v>Junio</c:v>
                  </c:pt>
                  <c:pt idx="15">
                    <c:v>Julio</c:v>
                  </c:pt>
                  <c:pt idx="16">
                    <c:v>Agosto</c:v>
                  </c:pt>
                  <c:pt idx="17">
                    <c:v>Septiembre</c:v>
                  </c:pt>
                </c:lvl>
                <c:lvl>
                  <c:pt idx="0">
                    <c:v>2017</c:v>
                  </c:pt>
                  <c:pt idx="2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G_Dolares!$B$7:$B$28</c:f>
              <c:numCache>
                <c:formatCode>[$USD]\ #,##0</c:formatCode>
                <c:ptCount val="18"/>
                <c:pt idx="0">
                  <c:v>120</c:v>
                </c:pt>
                <c:pt idx="1">
                  <c:v>66.349999999999994</c:v>
                </c:pt>
                <c:pt idx="2">
                  <c:v>3000</c:v>
                </c:pt>
                <c:pt idx="3">
                  <c:v>950</c:v>
                </c:pt>
                <c:pt idx="4">
                  <c:v>126.11</c:v>
                </c:pt>
                <c:pt idx="5">
                  <c:v>5</c:v>
                </c:pt>
                <c:pt idx="6">
                  <c:v>63.2</c:v>
                </c:pt>
                <c:pt idx="7">
                  <c:v>2118.86</c:v>
                </c:pt>
                <c:pt idx="8">
                  <c:v>6945</c:v>
                </c:pt>
                <c:pt idx="9">
                  <c:v>131.72</c:v>
                </c:pt>
                <c:pt idx="10">
                  <c:v>17703</c:v>
                </c:pt>
                <c:pt idx="11">
                  <c:v>0.03</c:v>
                </c:pt>
                <c:pt idx="12">
                  <c:v>4890.79</c:v>
                </c:pt>
                <c:pt idx="13">
                  <c:v>450</c:v>
                </c:pt>
                <c:pt idx="14">
                  <c:v>2187</c:v>
                </c:pt>
                <c:pt idx="15">
                  <c:v>2682.2</c:v>
                </c:pt>
                <c:pt idx="16">
                  <c:v>10619.279999999999</c:v>
                </c:pt>
                <c:pt idx="17">
                  <c:v>76163.81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380-982F-47E5EC4D1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9764904"/>
        <c:axId val="529765296"/>
      </c:barChart>
      <c:catAx>
        <c:axId val="52976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765296"/>
        <c:crosses val="autoZero"/>
        <c:auto val="1"/>
        <c:lblAlgn val="ctr"/>
        <c:lblOffset val="100"/>
        <c:noMultiLvlLbl val="0"/>
      </c:catAx>
      <c:valAx>
        <c:axId val="5297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USD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76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[CONC_DET_OPE_XID_MACRO.xlsm]G_Identeficables!Tabla 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Cantidad de depósitos NO CONCILIADOS e </a:t>
            </a:r>
            <a:r>
              <a:rPr lang="en-US" sz="1400" b="1" i="0" u="none" strike="noStrike" baseline="0">
                <a:effectLst/>
              </a:rPr>
              <a:t>Identificables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G_Identeficables!$B$4:$B$5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G_Identeficables!$A$6:$A$37</c:f>
              <c:multiLvlStrCache>
                <c:ptCount val="28"/>
                <c:lvl>
                  <c:pt idx="0">
                    <c:v>Enero</c:v>
                  </c:pt>
                  <c:pt idx="1">
                    <c:v>Marzo</c:v>
                  </c:pt>
                  <c:pt idx="2">
                    <c:v>Abril</c:v>
                  </c:pt>
                  <c:pt idx="3">
                    <c:v>Junio</c:v>
                  </c:pt>
                  <c:pt idx="4">
                    <c:v>Julio</c:v>
                  </c:pt>
                  <c:pt idx="5">
                    <c:v>Agosto</c:v>
                  </c:pt>
                  <c:pt idx="6">
                    <c:v>Octubre</c:v>
                  </c:pt>
                  <c:pt idx="7">
                    <c:v>Noviembre</c:v>
                  </c:pt>
                  <c:pt idx="8">
                    <c:v>Diciembre</c:v>
                  </c:pt>
                  <c:pt idx="9">
                    <c:v>Febrero</c:v>
                  </c:pt>
                  <c:pt idx="10">
                    <c:v>Abril</c:v>
                  </c:pt>
                  <c:pt idx="11">
                    <c:v>Mayo</c:v>
                  </c:pt>
                  <c:pt idx="12">
                    <c:v>Junio</c:v>
                  </c:pt>
                  <c:pt idx="13">
                    <c:v>Julio</c:v>
                  </c:pt>
                  <c:pt idx="14">
                    <c:v>Agosto</c:v>
                  </c:pt>
                  <c:pt idx="15">
                    <c:v>Septiembre</c:v>
                  </c:pt>
                  <c:pt idx="16">
                    <c:v>Octubre</c:v>
                  </c:pt>
                  <c:pt idx="17">
                    <c:v>Noviembre</c:v>
                  </c:pt>
                  <c:pt idx="18">
                    <c:v>Diciembre</c:v>
                  </c:pt>
                  <c:pt idx="19">
                    <c:v>Enero</c:v>
                  </c:pt>
                  <c:pt idx="20">
                    <c:v>Febrero</c:v>
                  </c:pt>
                  <c:pt idx="21">
                    <c:v>Marzo</c:v>
                  </c:pt>
                  <c:pt idx="22">
                    <c:v>Abril</c:v>
                  </c:pt>
                  <c:pt idx="23">
                    <c:v>Mayo</c:v>
                  </c:pt>
                  <c:pt idx="24">
                    <c:v>Junio</c:v>
                  </c:pt>
                  <c:pt idx="25">
                    <c:v>Julio</c:v>
                  </c:pt>
                  <c:pt idx="26">
                    <c:v>Agosto</c:v>
                  </c:pt>
                  <c:pt idx="27">
                    <c:v>Septiembre</c:v>
                  </c:pt>
                </c:lvl>
                <c:lvl>
                  <c:pt idx="0">
                    <c:v>2017</c:v>
                  </c:pt>
                  <c:pt idx="9">
                    <c:v>2018</c:v>
                  </c:pt>
                  <c:pt idx="19">
                    <c:v>2019</c:v>
                  </c:pt>
                </c:lvl>
              </c:multiLvlStrCache>
            </c:multiLvlStrRef>
          </c:cat>
          <c:val>
            <c:numRef>
              <c:f>G_Identeficables!$B$6:$B$37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9</c:v>
                </c:pt>
                <c:pt idx="20">
                  <c:v>7</c:v>
                </c:pt>
                <c:pt idx="21">
                  <c:v>14</c:v>
                </c:pt>
                <c:pt idx="22">
                  <c:v>16</c:v>
                </c:pt>
                <c:pt idx="23">
                  <c:v>10</c:v>
                </c:pt>
                <c:pt idx="24">
                  <c:v>18</c:v>
                </c:pt>
                <c:pt idx="25">
                  <c:v>12</c:v>
                </c:pt>
                <c:pt idx="26">
                  <c:v>27</c:v>
                </c:pt>
                <c:pt idx="27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B-4D96-AE3A-FD1986AE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210992"/>
        <c:axId val="583211384"/>
      </c:barChart>
      <c:catAx>
        <c:axId val="58321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3211384"/>
        <c:crosses val="autoZero"/>
        <c:auto val="1"/>
        <c:lblAlgn val="ctr"/>
        <c:lblOffset val="100"/>
        <c:noMultiLvlLbl val="0"/>
      </c:catAx>
      <c:valAx>
        <c:axId val="58321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32109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142875</xdr:colOff>
          <xdr:row>0</xdr:row>
          <xdr:rowOff>19050</xdr:rowOff>
        </xdr:from>
        <xdr:to>
          <xdr:col>26</xdr:col>
          <xdr:colOff>314325</xdr:colOff>
          <xdr:row>1</xdr:row>
          <xdr:rowOff>66675</xdr:rowOff>
        </xdr:to>
        <xdr:sp macro="" textlink="">
          <xdr:nvSpPr>
            <xdr:cNvPr id="1040" name="btIdentific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38101</xdr:rowOff>
    </xdr:from>
    <xdr:to>
      <xdr:col>15</xdr:col>
      <xdr:colOff>314325</xdr:colOff>
      <xdr:row>34</xdr:row>
      <xdr:rowOff>4763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</xdr:row>
      <xdr:rowOff>123826</xdr:rowOff>
    </xdr:from>
    <xdr:to>
      <xdr:col>15</xdr:col>
      <xdr:colOff>247650</xdr:colOff>
      <xdr:row>34</xdr:row>
      <xdr:rowOff>90488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2</xdr:row>
      <xdr:rowOff>19051</xdr:rowOff>
    </xdr:from>
    <xdr:to>
      <xdr:col>15</xdr:col>
      <xdr:colOff>276225</xdr:colOff>
      <xdr:row>33</xdr:row>
      <xdr:rowOff>147638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2</xdr:row>
      <xdr:rowOff>104776</xdr:rowOff>
    </xdr:from>
    <xdr:to>
      <xdr:col>14</xdr:col>
      <xdr:colOff>238125</xdr:colOff>
      <xdr:row>34</xdr:row>
      <xdr:rowOff>71438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2</xdr:row>
      <xdr:rowOff>104776</xdr:rowOff>
    </xdr:from>
    <xdr:to>
      <xdr:col>14</xdr:col>
      <xdr:colOff>238125</xdr:colOff>
      <xdr:row>34</xdr:row>
      <xdr:rowOff>71438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2</xdr:row>
      <xdr:rowOff>38101</xdr:rowOff>
    </xdr:from>
    <xdr:to>
      <xdr:col>14</xdr:col>
      <xdr:colOff>666750</xdr:colOff>
      <xdr:row>34</xdr:row>
      <xdr:rowOff>4763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Kenji Jhoncon Yague" refreshedDate="43741.456099189818" createdVersion="5" refreshedVersion="5" minRefreshableVersion="3" recordCount="1336" xr:uid="{00000000-000A-0000-FFFF-FFFF0B000000}">
  <cacheSource type="worksheet">
    <worksheetSource ref="L1:Y1048576" sheet="Data"/>
  </cacheSource>
  <cacheFields count="14">
    <cacheField name="MONEDA" numFmtId="0">
      <sharedItems containsBlank="1" count="5">
        <s v="Soles"/>
        <s v="Dolares"/>
        <m/>
        <s v="USD" u="1"/>
        <s v="SOL" u="1"/>
      </sharedItems>
    </cacheField>
    <cacheField name="CUENTABANCO" numFmtId="0">
      <sharedItems containsBlank="1"/>
    </cacheField>
    <cacheField name="BANCO" numFmtId="0">
      <sharedItems containsBlank="1"/>
    </cacheField>
    <cacheField name="GLOSA" numFmtId="0">
      <sharedItems containsBlank="1"/>
    </cacheField>
    <cacheField name="FECHA" numFmtId="14">
      <sharedItems containsNonDate="0" containsDate="1" containsString="0" containsBlank="1" minDate="2017-01-02T00:00:00" maxDate="2019-10-01T00:00:00"/>
    </cacheField>
    <cacheField name="IMPORTE" numFmtId="164">
      <sharedItems containsString="0" containsBlank="1" containsNumber="1" minValue="0.03" maxValue="1380000"/>
    </cacheField>
    <cacheField name="PERIODOCAJA" numFmtId="0">
      <sharedItems containsString="0" containsBlank="1" containsNumber="1" containsInteger="1" minValue="201701" maxValue="201909"/>
    </cacheField>
    <cacheField name="NUMEROCAJA" numFmtId="0">
      <sharedItems containsString="0" containsBlank="1" containsNumber="1" containsInteger="1" minValue="3000070" maxValue="3421547"/>
    </cacheField>
    <cacheField name="CONSOLIDADO" numFmtId="164">
      <sharedItems containsString="0" containsBlank="1" containsNumber="1" minValue="0.05" maxValue="1380000"/>
    </cacheField>
    <cacheField name="AÑO" numFmtId="0">
      <sharedItems containsString="0" containsBlank="1" containsNumber="1" containsInteger="1" minValue="2016" maxValue="2019" count="5">
        <n v="2019"/>
        <n v="2018"/>
        <n v="2017"/>
        <m/>
        <n v="2016" u="1"/>
      </sharedItems>
    </cacheField>
    <cacheField name="MES" numFmtId="0">
      <sharedItems containsBlank="1" count="13">
        <s v="Septiembre"/>
        <s v="Agosto"/>
        <s v="Julio"/>
        <s v="Junio"/>
        <s v="Mayo"/>
        <s v="Abril"/>
        <s v="Marzo"/>
        <s v="Febrero"/>
        <s v="Enero"/>
        <s v="Diciembre"/>
        <s v="Noviembre"/>
        <s v="Octubre"/>
        <m/>
      </sharedItems>
    </cacheField>
    <cacheField name="AREA" numFmtId="0">
      <sharedItems containsBlank="1" count="3">
        <s v="SIN DEFINIR"/>
        <s v="COMERCIAL"/>
        <m/>
      </sharedItems>
    </cacheField>
    <cacheField name="ENCARGADO" numFmtId="0">
      <sharedItems containsBlank="1" count="4">
        <s v="SIN DEFINIR"/>
        <s v="JAVIER GOGIN"/>
        <s v="ARTURO F."/>
        <m/>
      </sharedItems>
    </cacheField>
    <cacheField name="IDENTIFICABLE" numFmtId="0">
      <sharedItems containsBlank="1" count="3">
        <s v="VERDADERO"/>
        <s v="FALS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6">
  <r>
    <x v="0"/>
    <s v="041-3000106330"/>
    <s v="IBK"/>
    <s v="DE LA FUENTE DAVILA LUIS ANTON"/>
    <d v="2019-09-30T00:00:00"/>
    <n v="793.17"/>
    <n v="201909"/>
    <n v="3129783"/>
    <n v="793.17"/>
    <x v="0"/>
    <x v="0"/>
    <x v="0"/>
    <x v="0"/>
    <x v="0"/>
  </r>
  <r>
    <x v="0"/>
    <s v="041-3000106330"/>
    <s v="IBK"/>
    <s v="FAJARDO HINTZE RICARDO GUSTAVO"/>
    <d v="2019-09-30T00:00:00"/>
    <n v="15400"/>
    <n v="201909"/>
    <n v="3129542"/>
    <n v="15400"/>
    <x v="0"/>
    <x v="0"/>
    <x v="0"/>
    <x v="0"/>
    <x v="0"/>
  </r>
  <r>
    <x v="0"/>
    <s v="044-460-0009-24"/>
    <s v="SCOTIA"/>
    <s v="LA ROSA FONSECA, JOSE ANTONIO"/>
    <d v="2019-09-30T00:00:00"/>
    <n v="500"/>
    <n v="201909"/>
    <n v="3129264"/>
    <n v="500"/>
    <x v="0"/>
    <x v="0"/>
    <x v="0"/>
    <x v="0"/>
    <x v="0"/>
  </r>
  <r>
    <x v="0"/>
    <s v="044-460-0009-24"/>
    <s v="SCOTIA"/>
    <s v="20330208300 - PROTEMAX S.R.LTDA."/>
    <d v="2019-09-30T00:00:00"/>
    <n v="29064.68"/>
    <n v="201909"/>
    <n v="3129870"/>
    <n v="29064.68"/>
    <x v="0"/>
    <x v="0"/>
    <x v="0"/>
    <x v="0"/>
    <x v="0"/>
  </r>
  <r>
    <x v="0"/>
    <s v="0661-63-0200043647"/>
    <s v="BBVA"/>
    <s v="RITA LUCIA VALIENTE VALDERRAMA"/>
    <d v="2019-09-30T00:00:00"/>
    <n v="2150"/>
    <n v="201909"/>
    <n v="3129664"/>
    <n v="2150"/>
    <x v="0"/>
    <x v="0"/>
    <x v="0"/>
    <x v="0"/>
    <x v="0"/>
  </r>
  <r>
    <x v="0"/>
    <s v="0661-63-0200043647"/>
    <s v="BBVA"/>
    <s v="*BACIGALUPO CAVERO XIMENA FLOR DE MA"/>
    <d v="2019-09-30T00:00:00"/>
    <n v="700"/>
    <n v="201909"/>
    <n v="3130184"/>
    <n v="700"/>
    <x v="0"/>
    <x v="0"/>
    <x v="0"/>
    <x v="0"/>
    <x v="0"/>
  </r>
  <r>
    <x v="0"/>
    <s v="0661-63-0200043647"/>
    <s v="BBVA"/>
    <s v="*NAPURI DE JIMENEZ ANGELINA NINOSCA"/>
    <d v="2019-09-30T00:00:00"/>
    <n v="2116"/>
    <n v="201909"/>
    <n v="3129812"/>
    <n v="2116"/>
    <x v="0"/>
    <x v="0"/>
    <x v="0"/>
    <x v="0"/>
    <x v="0"/>
  </r>
  <r>
    <x v="0"/>
    <s v="0661-63-0200043647"/>
    <s v="BBVA"/>
    <s v="*CHUQUIN ORIHUELA DANTE IVAN"/>
    <d v="2019-09-30T00:00:00"/>
    <n v="50"/>
    <n v="201909"/>
    <n v="3129577"/>
    <n v="50"/>
    <x v="0"/>
    <x v="0"/>
    <x v="0"/>
    <x v="0"/>
    <x v="0"/>
  </r>
  <r>
    <x v="0"/>
    <s v="0661-63-0200043647"/>
    <s v="BBVA"/>
    <s v="*LOSTAUNAU MONTES LUIS ALBERTO"/>
    <d v="2019-09-30T00:00:00"/>
    <n v="280"/>
    <n v="201909"/>
    <n v="3129931"/>
    <n v="280"/>
    <x v="0"/>
    <x v="0"/>
    <x v="0"/>
    <x v="0"/>
    <x v="0"/>
  </r>
  <r>
    <x v="0"/>
    <s v="0661-63-0200043647"/>
    <s v="BBVA"/>
    <s v="JESUS RAYMUNDO TAIPE"/>
    <d v="2019-09-30T00:00:00"/>
    <n v="800"/>
    <n v="201909"/>
    <n v="3130380"/>
    <n v="800"/>
    <x v="0"/>
    <x v="0"/>
    <x v="0"/>
    <x v="0"/>
    <x v="0"/>
  </r>
  <r>
    <x v="0"/>
    <s v="193-1312975-0-72"/>
    <s v="BCP"/>
    <s v="DE INGENIERIA DEL CALZ"/>
    <d v="2019-09-30T00:00:00"/>
    <n v="4884.6000000000004"/>
    <n v="201909"/>
    <n v="3129338"/>
    <n v="4884.6000000000004"/>
    <x v="0"/>
    <x v="0"/>
    <x v="1"/>
    <x v="1"/>
    <x v="0"/>
  </r>
  <r>
    <x v="0"/>
    <s v="193-1312975-0-72"/>
    <s v="BCP"/>
    <s v="DE VENTCORP PERU S.A.C"/>
    <d v="2019-09-30T00:00:00"/>
    <n v="38524.379999999997"/>
    <n v="201909"/>
    <n v="3129511"/>
    <n v="38524.379999999997"/>
    <x v="0"/>
    <x v="0"/>
    <x v="1"/>
    <x v="2"/>
    <x v="0"/>
  </r>
  <r>
    <x v="0"/>
    <s v="193-1312975-0-72"/>
    <s v="BCP"/>
    <s v="DE 193-39591404-0"/>
    <d v="2019-09-30T00:00:00"/>
    <n v="1065"/>
    <n v="201909"/>
    <n v="3129713"/>
    <n v="1065"/>
    <x v="0"/>
    <x v="0"/>
    <x v="0"/>
    <x v="0"/>
    <x v="0"/>
  </r>
  <r>
    <x v="1"/>
    <s v="100-0006236"/>
    <s v="BANBIF"/>
    <s v="R/T-R166381 PLENA GLOBAL HOLDI"/>
    <d v="2019-09-30T00:00:00"/>
    <n v="8923.7900000000009"/>
    <n v="201909"/>
    <n v="3130371"/>
    <n v="30073.172300000006"/>
    <x v="0"/>
    <x v="0"/>
    <x v="0"/>
    <x v="0"/>
    <x v="0"/>
  </r>
  <r>
    <x v="1"/>
    <s v="142-75-0200064790"/>
    <s v="BBVA"/>
    <s v="08825692 VENEZUELA 2"/>
    <d v="2019-09-30T00:00:00"/>
    <n v="100"/>
    <n v="201909"/>
    <n v="3129361"/>
    <n v="337"/>
    <x v="0"/>
    <x v="0"/>
    <x v="0"/>
    <x v="0"/>
    <x v="0"/>
  </r>
  <r>
    <x v="1"/>
    <s v="193-1342935-1-08"/>
    <s v="BCP"/>
    <s v="DE ID CONSULTORES S.A."/>
    <d v="2019-09-30T00:00:00"/>
    <n v="1200"/>
    <n v="201909"/>
    <n v="3130349"/>
    <n v="4044"/>
    <x v="0"/>
    <x v="0"/>
    <x v="0"/>
    <x v="0"/>
    <x v="0"/>
  </r>
  <r>
    <x v="1"/>
    <s v="193-1342935-1-08"/>
    <s v="BCP"/>
    <s v="000FE 1033 CPX PERU S."/>
    <d v="2019-09-30T00:00:00"/>
    <n v="76.7"/>
    <n v="201909"/>
    <n v="3129616"/>
    <n v="258.47900000000004"/>
    <x v="0"/>
    <x v="0"/>
    <x v="0"/>
    <x v="0"/>
    <x v="0"/>
  </r>
  <r>
    <x v="1"/>
    <s v="193-1342935-1-08"/>
    <s v="BCP"/>
    <s v="DE NIX MEDIA S.A.C"/>
    <d v="2019-09-30T00:00:00"/>
    <n v="450"/>
    <n v="201909"/>
    <n v="3130038"/>
    <n v="1516.5"/>
    <x v="0"/>
    <x v="0"/>
    <x v="0"/>
    <x v="0"/>
    <x v="0"/>
  </r>
  <r>
    <x v="1"/>
    <s v="193-1342935-1-08"/>
    <s v="BCP"/>
    <s v="DE WSW S.A."/>
    <d v="2019-09-30T00:00:00"/>
    <n v="5283.9"/>
    <n v="201909"/>
    <n v="3130039"/>
    <n v="17806.742999999999"/>
    <x v="0"/>
    <x v="0"/>
    <x v="0"/>
    <x v="0"/>
    <x v="0"/>
  </r>
  <r>
    <x v="1"/>
    <s v="193-1342935-1-08"/>
    <s v="BCP"/>
    <s v="TRANSF.BCO.CAJA CMAC S"/>
    <d v="2019-09-30T00:00:00"/>
    <n v="15902"/>
    <n v="201909"/>
    <n v="3129770"/>
    <n v="53589.740000000005"/>
    <x v="0"/>
    <x v="0"/>
    <x v="0"/>
    <x v="0"/>
    <x v="0"/>
  </r>
  <r>
    <x v="0"/>
    <s v="044-460-0009-24"/>
    <s v="SCOTIA"/>
    <s v="TRANSFERENCIA ENTRE CUENTAS"/>
    <d v="2019-09-30T00:00:00"/>
    <n v="140"/>
    <n v="201909"/>
    <n v="3130043"/>
    <n v="140"/>
    <x v="0"/>
    <x v="0"/>
    <x v="0"/>
    <x v="0"/>
    <x v="1"/>
  </r>
  <r>
    <x v="0"/>
    <s v="0661-63-0200043647"/>
    <s v="BBVA"/>
    <s v="INGRESO EN EFECTIVO G EFECTIVO REDE"/>
    <d v="2019-09-30T00:00:00"/>
    <n v="180"/>
    <n v="201909"/>
    <n v="3129574"/>
    <n v="180"/>
    <x v="0"/>
    <x v="0"/>
    <x v="0"/>
    <x v="0"/>
    <x v="1"/>
  </r>
  <r>
    <x v="0"/>
    <s v="0661-63-0200043647"/>
    <s v="BBVA"/>
    <s v="AA OF REAL PLAZA S"/>
    <d v="2019-09-30T00:00:00"/>
    <n v="290"/>
    <n v="201909"/>
    <n v="3129932"/>
    <n v="290"/>
    <x v="0"/>
    <x v="0"/>
    <x v="0"/>
    <x v="0"/>
    <x v="1"/>
  </r>
  <r>
    <x v="0"/>
    <s v="0661-63-0200043647"/>
    <s v="BBVA"/>
    <s v="AA OF REAL PLAZA S"/>
    <d v="2019-09-30T00:00:00"/>
    <n v="690"/>
    <n v="201909"/>
    <n v="3129933"/>
    <n v="690"/>
    <x v="0"/>
    <x v="0"/>
    <x v="0"/>
    <x v="0"/>
    <x v="1"/>
  </r>
  <r>
    <x v="0"/>
    <s v="0661-63-0200043647"/>
    <s v="BBVA"/>
    <s v="AA OF. EL TRIGAL"/>
    <d v="2019-09-30T00:00:00"/>
    <n v="2100"/>
    <n v="201909"/>
    <n v="3129443"/>
    <n v="2100"/>
    <x v="0"/>
    <x v="0"/>
    <x v="0"/>
    <x v="0"/>
    <x v="1"/>
  </r>
  <r>
    <x v="0"/>
    <s v="193-1312975-0-72"/>
    <s v="BCP"/>
    <s v="ENTR.EFEC. 0541290"/>
    <d v="2019-09-30T00:00:00"/>
    <n v="1109.43"/>
    <n v="201909"/>
    <n v="3129801"/>
    <n v="1109.43"/>
    <x v="0"/>
    <x v="0"/>
    <x v="0"/>
    <x v="0"/>
    <x v="1"/>
  </r>
  <r>
    <x v="0"/>
    <s v="193-1312975-0-72"/>
    <s v="BCP"/>
    <s v="TRAN.CTAS.TERC.HK"/>
    <d v="2019-09-30T00:00:00"/>
    <n v="875.93"/>
    <n v="201909"/>
    <n v="3129336"/>
    <n v="875.93"/>
    <x v="0"/>
    <x v="0"/>
    <x v="0"/>
    <x v="0"/>
    <x v="1"/>
  </r>
  <r>
    <x v="0"/>
    <s v="193-1312975-0-72"/>
    <s v="BCP"/>
    <s v="TRAN.CTAS.TERC.BM"/>
    <d v="2019-09-30T00:00:00"/>
    <n v="130"/>
    <n v="201909"/>
    <n v="3129337"/>
    <n v="130"/>
    <x v="0"/>
    <x v="0"/>
    <x v="0"/>
    <x v="0"/>
    <x v="1"/>
  </r>
  <r>
    <x v="0"/>
    <s v="193-1312975-0-72"/>
    <s v="BCP"/>
    <s v="ENTR.EFEC. 0415855"/>
    <d v="2019-09-30T00:00:00"/>
    <n v="980"/>
    <n v="201909"/>
    <n v="3129615"/>
    <n v="980"/>
    <x v="0"/>
    <x v="0"/>
    <x v="0"/>
    <x v="0"/>
    <x v="1"/>
  </r>
  <r>
    <x v="0"/>
    <s v="193-1312975-0-72"/>
    <s v="BCP"/>
    <s v="TRANSF OTRA CUENTA"/>
    <d v="2019-09-30T00:00:00"/>
    <n v="260.95999999999998"/>
    <n v="201909"/>
    <n v="3130028"/>
    <n v="260.95999999999998"/>
    <x v="0"/>
    <x v="0"/>
    <x v="0"/>
    <x v="0"/>
    <x v="1"/>
  </r>
  <r>
    <x v="0"/>
    <s v="193-1312975-0-72"/>
    <s v="BCP"/>
    <s v="TRAN.CTAS.TERC.BM"/>
    <d v="2019-09-30T00:00:00"/>
    <n v="1655.02"/>
    <n v="201909"/>
    <n v="3130035"/>
    <n v="1655.02"/>
    <x v="0"/>
    <x v="0"/>
    <x v="0"/>
    <x v="0"/>
    <x v="1"/>
  </r>
  <r>
    <x v="0"/>
    <s v="193-1312975-0-72"/>
    <s v="BCP"/>
    <s v="TRAN.CTAS.TERC.HK"/>
    <d v="2019-09-30T00:00:00"/>
    <n v="800"/>
    <n v="201909"/>
    <n v="3129513"/>
    <n v="800"/>
    <x v="0"/>
    <x v="0"/>
    <x v="0"/>
    <x v="0"/>
    <x v="1"/>
  </r>
  <r>
    <x v="0"/>
    <s v="193-1312975-0-72"/>
    <s v="BCP"/>
    <s v="TRANSF OTRA CUENTA"/>
    <d v="2019-09-30T00:00:00"/>
    <n v="1000"/>
    <n v="201909"/>
    <n v="3130087"/>
    <n v="1000"/>
    <x v="0"/>
    <x v="0"/>
    <x v="0"/>
    <x v="0"/>
    <x v="1"/>
  </r>
  <r>
    <x v="1"/>
    <s v="193-1342935-1-08"/>
    <s v="BCP"/>
    <s v="TRAN.CTAS.TERC.HK"/>
    <d v="2019-09-30T00:00:00"/>
    <n v="291.5"/>
    <n v="201909"/>
    <n v="3129943"/>
    <n v="982.35500000000002"/>
    <x v="0"/>
    <x v="0"/>
    <x v="0"/>
    <x v="0"/>
    <x v="1"/>
  </r>
  <r>
    <x v="1"/>
    <s v="193-1342935-1-08"/>
    <s v="BCP"/>
    <s v="TRAN.CTAS.TERC.BM"/>
    <d v="2019-09-30T00:00:00"/>
    <n v="973.84"/>
    <n v="201909"/>
    <n v="3129947"/>
    <n v="3281.8408000000004"/>
    <x v="0"/>
    <x v="0"/>
    <x v="0"/>
    <x v="0"/>
    <x v="1"/>
  </r>
  <r>
    <x v="0"/>
    <s v="193-1312975-0-72"/>
    <s v="BCP"/>
    <s v="TRAN.CTAS.TERC.BM"/>
    <d v="2019-09-29T00:00:00"/>
    <n v="40"/>
    <n v="201909"/>
    <n v="3129224"/>
    <n v="40"/>
    <x v="0"/>
    <x v="0"/>
    <x v="0"/>
    <x v="0"/>
    <x v="1"/>
  </r>
  <r>
    <x v="1"/>
    <s v="193-1342935-1-08"/>
    <s v="BCP"/>
    <s v="TRAN.CTAS.TERC.HK"/>
    <d v="2019-09-29T00:00:00"/>
    <n v="52.61"/>
    <n v="201909"/>
    <n v="3129251"/>
    <n v="177.29570000000001"/>
    <x v="0"/>
    <x v="0"/>
    <x v="0"/>
    <x v="0"/>
    <x v="1"/>
  </r>
  <r>
    <x v="0"/>
    <s v="044-460-0009-24"/>
    <s v="SCOTIA"/>
    <s v="20418767279 - NEGOCIACIONES HAROL S E.I.R.L."/>
    <d v="2019-09-28T00:00:00"/>
    <n v="318.3"/>
    <n v="201909"/>
    <n v="3129266"/>
    <n v="318.3"/>
    <x v="0"/>
    <x v="0"/>
    <x v="0"/>
    <x v="0"/>
    <x v="0"/>
  </r>
  <r>
    <x v="0"/>
    <s v="044-460-0009-24"/>
    <s v="SCOTIA"/>
    <s v="DEPOSITO EN EFECTIVO"/>
    <d v="2019-09-28T00:00:00"/>
    <n v="110"/>
    <n v="201909"/>
    <n v="3129069"/>
    <n v="110"/>
    <x v="0"/>
    <x v="0"/>
    <x v="0"/>
    <x v="0"/>
    <x v="1"/>
  </r>
  <r>
    <x v="0"/>
    <s v="044-460-0009-24"/>
    <s v="SCOTIA"/>
    <s v="DEPOSITO EN EFECTIVO"/>
    <d v="2019-09-28T00:00:00"/>
    <n v="110"/>
    <n v="201909"/>
    <n v="3129065"/>
    <n v="110"/>
    <x v="0"/>
    <x v="0"/>
    <x v="0"/>
    <x v="0"/>
    <x v="1"/>
  </r>
  <r>
    <x v="0"/>
    <s v="044-460-0009-24"/>
    <s v="SCOTIA"/>
    <s v="DEPOSITO EN EFECTIVO"/>
    <d v="2019-09-28T00:00:00"/>
    <n v="110"/>
    <n v="201909"/>
    <n v="3129066"/>
    <n v="110"/>
    <x v="0"/>
    <x v="0"/>
    <x v="0"/>
    <x v="0"/>
    <x v="1"/>
  </r>
  <r>
    <x v="0"/>
    <s v="044-460-0009-24"/>
    <s v="SCOTIA"/>
    <s v="DEPOSITO EN EFECTIVO"/>
    <d v="2019-09-28T00:00:00"/>
    <n v="110"/>
    <n v="201909"/>
    <n v="3129067"/>
    <n v="110"/>
    <x v="0"/>
    <x v="0"/>
    <x v="0"/>
    <x v="0"/>
    <x v="1"/>
  </r>
  <r>
    <x v="0"/>
    <s v="044-460-0009-24"/>
    <s v="SCOTIA"/>
    <s v="DEPOSITO EN EFECTIVO"/>
    <d v="2019-09-28T00:00:00"/>
    <n v="110"/>
    <n v="201909"/>
    <n v="3129068"/>
    <n v="110"/>
    <x v="0"/>
    <x v="0"/>
    <x v="0"/>
    <x v="0"/>
    <x v="1"/>
  </r>
  <r>
    <x v="0"/>
    <s v="193-03308674-0-93"/>
    <s v="BCP"/>
    <s v="TRAN.CTAS.TERC.BM"/>
    <d v="2019-09-28T00:00:00"/>
    <n v="900"/>
    <n v="201909"/>
    <n v="3129213"/>
    <n v="900"/>
    <x v="0"/>
    <x v="0"/>
    <x v="0"/>
    <x v="0"/>
    <x v="1"/>
  </r>
  <r>
    <x v="0"/>
    <s v="193-03308674-0-93"/>
    <s v="BCP"/>
    <s v="TRAN.CTAS.TERC.BM"/>
    <d v="2019-09-28T00:00:00"/>
    <n v="600"/>
    <n v="201909"/>
    <n v="3129212"/>
    <n v="600"/>
    <x v="0"/>
    <x v="0"/>
    <x v="0"/>
    <x v="0"/>
    <x v="1"/>
  </r>
  <r>
    <x v="0"/>
    <s v="193-1312975-0-72"/>
    <s v="BCP"/>
    <s v="TRAN.CTAS.TERC.BM"/>
    <d v="2019-09-28T00:00:00"/>
    <n v="312"/>
    <n v="201909"/>
    <n v="3129241"/>
    <n v="312"/>
    <x v="0"/>
    <x v="0"/>
    <x v="0"/>
    <x v="0"/>
    <x v="1"/>
  </r>
  <r>
    <x v="0"/>
    <s v="193-1312975-0-72"/>
    <s v="BCP"/>
    <s v="TRAN.CTAS.TERC.BM"/>
    <d v="2019-09-28T00:00:00"/>
    <n v="800"/>
    <n v="201909"/>
    <n v="3129024"/>
    <n v="800"/>
    <x v="0"/>
    <x v="0"/>
    <x v="0"/>
    <x v="0"/>
    <x v="1"/>
  </r>
  <r>
    <x v="0"/>
    <s v="193-1312975-0-72"/>
    <s v="BCP"/>
    <s v="TRAN.CTAS.TERC.HK"/>
    <d v="2019-09-28T00:00:00"/>
    <n v="50"/>
    <n v="201909"/>
    <n v="3129092"/>
    <n v="50"/>
    <x v="0"/>
    <x v="0"/>
    <x v="0"/>
    <x v="0"/>
    <x v="1"/>
  </r>
  <r>
    <x v="0"/>
    <s v="193-1312975-0-72"/>
    <s v="BCP"/>
    <s v="ENTR.EFEC. 0636406"/>
    <d v="2019-09-28T00:00:00"/>
    <n v="155"/>
    <n v="201909"/>
    <n v="3129093"/>
    <n v="155"/>
    <x v="0"/>
    <x v="0"/>
    <x v="0"/>
    <x v="0"/>
    <x v="1"/>
  </r>
  <r>
    <x v="0"/>
    <s v="193-1312975-0-72"/>
    <s v="BCP"/>
    <s v="ENTR.EFEC. 0763734"/>
    <d v="2019-09-28T00:00:00"/>
    <n v="6000"/>
    <n v="201909"/>
    <n v="3129102"/>
    <n v="6000"/>
    <x v="0"/>
    <x v="0"/>
    <x v="0"/>
    <x v="0"/>
    <x v="1"/>
  </r>
  <r>
    <x v="0"/>
    <s v="193-1312975-0-72"/>
    <s v="BCP"/>
    <s v="ENTR.EFEC. 0732673"/>
    <d v="2019-09-28T00:00:00"/>
    <n v="5393.71"/>
    <n v="201909"/>
    <n v="3129114"/>
    <n v="5393.71"/>
    <x v="0"/>
    <x v="0"/>
    <x v="0"/>
    <x v="0"/>
    <x v="1"/>
  </r>
  <r>
    <x v="1"/>
    <s v="041-3000106347"/>
    <s v="IBK"/>
    <s v="DEP.EFECTI - -"/>
    <d v="2019-09-28T00:00:00"/>
    <n v="13941.1"/>
    <n v="201909"/>
    <n v="3129262"/>
    <n v="46981.507000000005"/>
    <x v="0"/>
    <x v="0"/>
    <x v="0"/>
    <x v="0"/>
    <x v="1"/>
  </r>
  <r>
    <x v="0"/>
    <s v="044-460-0009-24"/>
    <s v="SCOTIA"/>
    <s v="OUTSOURCING ASOCIADOS ALMA S A"/>
    <d v="2019-09-27T00:00:00"/>
    <n v="1072.28"/>
    <n v="201909"/>
    <n v="3128728"/>
    <n v="1072.28"/>
    <x v="0"/>
    <x v="0"/>
    <x v="0"/>
    <x v="0"/>
    <x v="0"/>
  </r>
  <r>
    <x v="0"/>
    <s v="044-460-0009-24"/>
    <s v="SCOTIA"/>
    <s v="GATTI VIGO, SHELBY RUTH"/>
    <d v="2019-09-27T00:00:00"/>
    <n v="235.07"/>
    <n v="201909"/>
    <n v="3128729"/>
    <n v="235.07"/>
    <x v="0"/>
    <x v="0"/>
    <x v="0"/>
    <x v="0"/>
    <x v="0"/>
  </r>
  <r>
    <x v="1"/>
    <s v="142-75-0200064790"/>
    <s v="BBVA"/>
    <s v="CARMEN VIRGINIA PANEZ ISHIDA"/>
    <d v="2019-09-27T00:00:00"/>
    <n v="3000"/>
    <n v="201909"/>
    <n v="3129012"/>
    <n v="10110"/>
    <x v="0"/>
    <x v="0"/>
    <x v="0"/>
    <x v="0"/>
    <x v="0"/>
  </r>
  <r>
    <x v="0"/>
    <s v="0661-63-0200043647"/>
    <s v="BBVA"/>
    <s v="AA SAN FELIPE"/>
    <d v="2019-09-27T00:00:00"/>
    <n v="420"/>
    <n v="201909"/>
    <n v="3129015"/>
    <n v="420"/>
    <x v="0"/>
    <x v="0"/>
    <x v="0"/>
    <x v="0"/>
    <x v="1"/>
  </r>
  <r>
    <x v="0"/>
    <s v="193-1312975-0-72"/>
    <s v="BCP"/>
    <s v="TRAN.CTAS.TERC.BM"/>
    <d v="2019-09-27T00:00:00"/>
    <n v="140"/>
    <n v="201909"/>
    <n v="3128697"/>
    <n v="140"/>
    <x v="0"/>
    <x v="0"/>
    <x v="0"/>
    <x v="0"/>
    <x v="1"/>
  </r>
  <r>
    <x v="0"/>
    <s v="193-1312975-0-72"/>
    <s v="BCP"/>
    <s v="TRAN.CTAS.TERC.BM"/>
    <d v="2019-09-27T00:00:00"/>
    <n v="140"/>
    <n v="201909"/>
    <n v="3128698"/>
    <n v="140"/>
    <x v="0"/>
    <x v="0"/>
    <x v="0"/>
    <x v="0"/>
    <x v="1"/>
  </r>
  <r>
    <x v="0"/>
    <s v="193-1312975-0-72"/>
    <s v="BCP"/>
    <s v="TRA O/CTA - AGENTE"/>
    <d v="2019-09-27T00:00:00"/>
    <n v="161.6"/>
    <n v="201909"/>
    <n v="3128847"/>
    <n v="161.6"/>
    <x v="0"/>
    <x v="0"/>
    <x v="0"/>
    <x v="0"/>
    <x v="1"/>
  </r>
  <r>
    <x v="0"/>
    <s v="193-1312975-0-72"/>
    <s v="BCP"/>
    <s v="ENTR.EFEC. 0990805"/>
    <d v="2019-09-27T00:00:00"/>
    <n v="1050"/>
    <n v="201909"/>
    <n v="3128366"/>
    <n v="1050"/>
    <x v="0"/>
    <x v="0"/>
    <x v="0"/>
    <x v="0"/>
    <x v="1"/>
  </r>
  <r>
    <x v="0"/>
    <s v="193-1312975-0-72"/>
    <s v="BCP"/>
    <s v="ENTR.EFEC. 0280380"/>
    <d v="2019-09-27T00:00:00"/>
    <n v="174"/>
    <n v="201909"/>
    <n v="3128597"/>
    <n v="174"/>
    <x v="0"/>
    <x v="0"/>
    <x v="0"/>
    <x v="0"/>
    <x v="1"/>
  </r>
  <r>
    <x v="0"/>
    <s v="193-1312975-0-72"/>
    <s v="BCP"/>
    <s v="TRAN.CTAS.TERC.BM"/>
    <d v="2019-09-27T00:00:00"/>
    <n v="1260"/>
    <n v="201909"/>
    <n v="3128990"/>
    <n v="1260"/>
    <x v="0"/>
    <x v="0"/>
    <x v="0"/>
    <x v="0"/>
    <x v="1"/>
  </r>
  <r>
    <x v="0"/>
    <s v="193-1312975-0-72"/>
    <s v="BCP"/>
    <s v="TRAN.CTAS.TERC.BM"/>
    <d v="2019-09-27T00:00:00"/>
    <n v="1000"/>
    <n v="201909"/>
    <n v="3128998"/>
    <n v="1000"/>
    <x v="0"/>
    <x v="0"/>
    <x v="0"/>
    <x v="0"/>
    <x v="1"/>
  </r>
  <r>
    <x v="0"/>
    <s v="0661-63-0200043647"/>
    <s v="BBVA"/>
    <s v="RAFAEL VEGA TRUJILLO"/>
    <d v="2019-09-26T00:00:00"/>
    <n v="2500"/>
    <n v="201909"/>
    <n v="3127666"/>
    <n v="2500"/>
    <x v="0"/>
    <x v="0"/>
    <x v="0"/>
    <x v="0"/>
    <x v="0"/>
  </r>
  <r>
    <x v="0"/>
    <s v="0661-63-0200043647"/>
    <s v="BBVA"/>
    <s v="*SEMINARIO EGUILUZ ROBERTO MIGUEL"/>
    <d v="2019-09-26T00:00:00"/>
    <n v="800"/>
    <n v="201909"/>
    <n v="3128218"/>
    <n v="800"/>
    <x v="0"/>
    <x v="0"/>
    <x v="0"/>
    <x v="0"/>
    <x v="0"/>
  </r>
  <r>
    <x v="0"/>
    <s v="0661-63-0200043647"/>
    <s v="BBVA"/>
    <s v="*SANTA MARIA GUZMAN MERCEDES DEL PIL"/>
    <d v="2019-09-26T00:00:00"/>
    <n v="280"/>
    <n v="201909"/>
    <n v="3128219"/>
    <n v="280"/>
    <x v="0"/>
    <x v="0"/>
    <x v="0"/>
    <x v="0"/>
    <x v="0"/>
  </r>
  <r>
    <x v="0"/>
    <s v="0661-63-0200043647"/>
    <s v="BBVA"/>
    <s v="INSCRIPCION Y APORTE DE SOCIO"/>
    <d v="2019-09-26T00:00:00"/>
    <n v="110"/>
    <n v="201909"/>
    <n v="3128220"/>
    <n v="110"/>
    <x v="0"/>
    <x v="0"/>
    <x v="0"/>
    <x v="0"/>
    <x v="1"/>
  </r>
  <r>
    <x v="0"/>
    <s v="0661-63-0200043647"/>
    <s v="BBVA"/>
    <s v="AA REP.DE PANAMA"/>
    <d v="2019-09-26T00:00:00"/>
    <n v="140"/>
    <n v="201909"/>
    <n v="3127665"/>
    <n v="140"/>
    <x v="0"/>
    <x v="0"/>
    <x v="0"/>
    <x v="0"/>
    <x v="1"/>
  </r>
  <r>
    <x v="0"/>
    <s v="0661-63-0200043647"/>
    <s v="BBVA"/>
    <s v="AA SAN FELIPE"/>
    <d v="2019-09-26T00:00:00"/>
    <n v="420"/>
    <n v="201909"/>
    <n v="3127941"/>
    <n v="420"/>
    <x v="0"/>
    <x v="0"/>
    <x v="0"/>
    <x v="0"/>
    <x v="1"/>
  </r>
  <r>
    <x v="0"/>
    <s v="193-1312975-0-72"/>
    <s v="BCP"/>
    <s v="ENTR.EFEC. 0626281"/>
    <d v="2019-09-26T00:00:00"/>
    <n v="74"/>
    <n v="201909"/>
    <n v="3127668"/>
    <n v="74"/>
    <x v="0"/>
    <x v="0"/>
    <x v="0"/>
    <x v="0"/>
    <x v="1"/>
  </r>
  <r>
    <x v="0"/>
    <s v="193-1312975-0-72"/>
    <s v="BCP"/>
    <s v="TRAN.CTAS.TERC.BM"/>
    <d v="2019-09-26T00:00:00"/>
    <n v="922"/>
    <n v="201909"/>
    <n v="3127672"/>
    <n v="922"/>
    <x v="0"/>
    <x v="0"/>
    <x v="0"/>
    <x v="0"/>
    <x v="1"/>
  </r>
  <r>
    <x v="0"/>
    <s v="193-1312975-0-72"/>
    <s v="BCP"/>
    <s v="TRA O/CTA - AGENTE"/>
    <d v="2019-09-26T00:00:00"/>
    <n v="160.80000000000001"/>
    <n v="201909"/>
    <n v="3128124"/>
    <n v="160.80000000000001"/>
    <x v="0"/>
    <x v="0"/>
    <x v="0"/>
    <x v="0"/>
    <x v="1"/>
  </r>
  <r>
    <x v="1"/>
    <s v="100-0006236"/>
    <s v="BANBIF"/>
    <s v="CREDITO MISC."/>
    <d v="2019-09-26T00:00:00"/>
    <n v="7000"/>
    <n v="201909"/>
    <n v="3127524"/>
    <n v="23590"/>
    <x v="0"/>
    <x v="0"/>
    <x v="0"/>
    <x v="0"/>
    <x v="1"/>
  </r>
  <r>
    <x v="0"/>
    <s v="0661-63-0200043647"/>
    <s v="BBVA"/>
    <s v="CONVENIO CORPORATIVA PACIFICO"/>
    <d v="2019-09-25T00:00:00"/>
    <n v="4913.9799999999996"/>
    <n v="201909"/>
    <n v="3127335"/>
    <n v="4913.9799999999996"/>
    <x v="0"/>
    <x v="0"/>
    <x v="0"/>
    <x v="0"/>
    <x v="0"/>
  </r>
  <r>
    <x v="0"/>
    <s v="193-1312975-0-72"/>
    <s v="BCP"/>
    <s v="DE TRANSPORTES EL QUET"/>
    <d v="2019-09-25T00:00:00"/>
    <n v="420.14"/>
    <n v="201909"/>
    <n v="3127537"/>
    <n v="420.14"/>
    <x v="0"/>
    <x v="0"/>
    <x v="0"/>
    <x v="0"/>
    <x v="0"/>
  </r>
  <r>
    <x v="0"/>
    <s v="193-1312975-0-72"/>
    <s v="BCP"/>
    <s v="TRA O/CTA - AGENTE"/>
    <d v="2019-09-25T00:00:00"/>
    <n v="240"/>
    <n v="201909"/>
    <n v="3127316"/>
    <n v="240"/>
    <x v="0"/>
    <x v="0"/>
    <x v="0"/>
    <x v="0"/>
    <x v="1"/>
  </r>
  <r>
    <x v="0"/>
    <s v="193-1312975-0-72"/>
    <s v="BCP"/>
    <s v="TRAN.CTAS.TERC.HK"/>
    <d v="2019-09-25T00:00:00"/>
    <n v="140"/>
    <n v="201909"/>
    <n v="3126928"/>
    <n v="140"/>
    <x v="0"/>
    <x v="0"/>
    <x v="0"/>
    <x v="0"/>
    <x v="1"/>
  </r>
  <r>
    <x v="0"/>
    <s v="193-1312975-0-72"/>
    <s v="BCP"/>
    <s v="ENTR.EFEC. 0279662"/>
    <d v="2019-09-25T00:00:00"/>
    <n v="800"/>
    <n v="201909"/>
    <n v="3126726"/>
    <n v="800"/>
    <x v="0"/>
    <x v="0"/>
    <x v="0"/>
    <x v="0"/>
    <x v="1"/>
  </r>
  <r>
    <x v="0"/>
    <s v="044-460-0009-24"/>
    <s v="SCOTIA"/>
    <s v="BALLON SALCEDO, CLAUDIA ELENA"/>
    <d v="2019-09-24T00:00:00"/>
    <n v="991"/>
    <n v="201909"/>
    <n v="3126475"/>
    <n v="991"/>
    <x v="0"/>
    <x v="0"/>
    <x v="0"/>
    <x v="0"/>
    <x v="0"/>
  </r>
  <r>
    <x v="0"/>
    <s v="0661-63-0200043647"/>
    <s v="BBVA"/>
    <s v="DNI:40945836 OF.LA MARINA"/>
    <d v="2019-09-24T00:00:00"/>
    <n v="800"/>
    <n v="201909"/>
    <n v="3126400"/>
    <n v="800"/>
    <x v="0"/>
    <x v="0"/>
    <x v="0"/>
    <x v="0"/>
    <x v="0"/>
  </r>
  <r>
    <x v="0"/>
    <s v="2604-1"/>
    <s v="AELU"/>
    <s v="ALEJANDRA HERNANDEZ ALARCON"/>
    <d v="2019-09-24T00:00:00"/>
    <n v="10005"/>
    <n v="201909"/>
    <n v="3126408"/>
    <n v="10005"/>
    <x v="0"/>
    <x v="0"/>
    <x v="0"/>
    <x v="0"/>
    <x v="0"/>
  </r>
  <r>
    <x v="1"/>
    <s v="142-75-0200064790"/>
    <s v="BBVA"/>
    <s v="GABRIEL OSORES LOPEZ"/>
    <d v="2019-09-24T00:00:00"/>
    <n v="400"/>
    <n v="201909"/>
    <n v="3126398"/>
    <n v="1348"/>
    <x v="0"/>
    <x v="0"/>
    <x v="0"/>
    <x v="0"/>
    <x v="0"/>
  </r>
  <r>
    <x v="0"/>
    <s v="0661-63-0200043647"/>
    <s v="BBVA"/>
    <s v="INGRESO EN EFECTIVO OF. C.C. REAL P"/>
    <d v="2019-09-24T00:00:00"/>
    <n v="1605"/>
    <n v="201909"/>
    <n v="3126518"/>
    <n v="1605"/>
    <x v="0"/>
    <x v="0"/>
    <x v="0"/>
    <x v="0"/>
    <x v="1"/>
  </r>
  <r>
    <x v="0"/>
    <s v="193-1312975-0-72"/>
    <s v="BCP"/>
    <s v="TRAN.CTAS.TERC.BM"/>
    <d v="2019-09-24T00:00:00"/>
    <n v="355"/>
    <n v="201909"/>
    <n v="3126666"/>
    <n v="355"/>
    <x v="0"/>
    <x v="0"/>
    <x v="0"/>
    <x v="0"/>
    <x v="1"/>
  </r>
  <r>
    <x v="0"/>
    <s v="193-1312975-0-72"/>
    <s v="BCP"/>
    <s v="DE SUPER NIKKEI S.A.C."/>
    <d v="2019-09-23T00:00:00"/>
    <n v="685"/>
    <n v="201909"/>
    <n v="3126034"/>
    <n v="685"/>
    <x v="0"/>
    <x v="0"/>
    <x v="0"/>
    <x v="0"/>
    <x v="0"/>
  </r>
  <r>
    <x v="1"/>
    <s v="193-1342935-1-08"/>
    <s v="BCP"/>
    <s v="DE 192-18766397-1"/>
    <d v="2019-09-23T00:00:00"/>
    <n v="6508"/>
    <n v="201909"/>
    <n v="3125826"/>
    <n v="21931.96"/>
    <x v="0"/>
    <x v="0"/>
    <x v="0"/>
    <x v="0"/>
    <x v="0"/>
  </r>
  <r>
    <x v="0"/>
    <s v="193-03308674-0-93"/>
    <s v="BCP"/>
    <s v="BCR-BANCO DE LA NACION"/>
    <d v="2019-09-23T00:00:00"/>
    <n v="120000"/>
    <n v="201909"/>
    <n v="3126464"/>
    <n v="120000"/>
    <x v="0"/>
    <x v="0"/>
    <x v="0"/>
    <x v="0"/>
    <x v="1"/>
  </r>
  <r>
    <x v="0"/>
    <s v="193-1312975-0-72"/>
    <s v="BCP"/>
    <s v="TRAN.CTAS.TERC.BM"/>
    <d v="2019-09-23T00:00:00"/>
    <n v="944"/>
    <n v="201909"/>
    <n v="3126032"/>
    <n v="944"/>
    <x v="0"/>
    <x v="0"/>
    <x v="0"/>
    <x v="0"/>
    <x v="1"/>
  </r>
  <r>
    <x v="0"/>
    <s v="193-1312975-0-72"/>
    <s v="BCP"/>
    <s v="TRA O/CTA - AGENTE"/>
    <d v="2019-09-23T00:00:00"/>
    <n v="88.4"/>
    <n v="201909"/>
    <n v="3126055"/>
    <n v="88.4"/>
    <x v="0"/>
    <x v="0"/>
    <x v="0"/>
    <x v="0"/>
    <x v="1"/>
  </r>
  <r>
    <x v="0"/>
    <s v="193-1312975-0-72"/>
    <s v="BCP"/>
    <s v="TRAN.CTAS.TERC.BM"/>
    <d v="2019-09-21T00:00:00"/>
    <n v="92.5"/>
    <n v="201909"/>
    <n v="3125407"/>
    <n v="92.5"/>
    <x v="0"/>
    <x v="0"/>
    <x v="0"/>
    <x v="0"/>
    <x v="1"/>
  </r>
  <r>
    <x v="0"/>
    <s v="193-1312975-0-72"/>
    <s v="BCP"/>
    <s v="TRANSFER.PROG.HBK"/>
    <d v="2019-09-20T00:00:00"/>
    <n v="100"/>
    <n v="201909"/>
    <n v="3125229"/>
    <n v="100"/>
    <x v="0"/>
    <x v="0"/>
    <x v="0"/>
    <x v="0"/>
    <x v="0"/>
  </r>
  <r>
    <x v="0"/>
    <s v="193-1312975-0-72"/>
    <s v="BCP"/>
    <s v="TRAN.CTAS.TERC.HK"/>
    <d v="2019-09-20T00:00:00"/>
    <n v="4109.8999999999996"/>
    <n v="201909"/>
    <n v="3124533"/>
    <n v="4109.8999999999996"/>
    <x v="0"/>
    <x v="0"/>
    <x v="0"/>
    <x v="0"/>
    <x v="1"/>
  </r>
  <r>
    <x v="0"/>
    <s v="193-1312975-0-72"/>
    <s v="BCP"/>
    <s v="TRAN.CTAS.TERC.BM"/>
    <d v="2019-09-20T00:00:00"/>
    <n v="3000"/>
    <n v="201909"/>
    <n v="3124952"/>
    <n v="3000"/>
    <x v="0"/>
    <x v="0"/>
    <x v="0"/>
    <x v="0"/>
    <x v="1"/>
  </r>
  <r>
    <x v="0"/>
    <s v="193-1312975-0-72"/>
    <s v="BCP"/>
    <s v="TRAN.CTAS.TERC.BM"/>
    <d v="2019-09-20T00:00:00"/>
    <n v="502"/>
    <n v="201909"/>
    <n v="3124956"/>
    <n v="502"/>
    <x v="0"/>
    <x v="0"/>
    <x v="0"/>
    <x v="0"/>
    <x v="1"/>
  </r>
  <r>
    <x v="0"/>
    <s v="193-1312975-0-72"/>
    <s v="BCP"/>
    <s v="TRA O/CTA - AGENTE"/>
    <d v="2019-09-20T00:00:00"/>
    <n v="102"/>
    <n v="201909"/>
    <n v="3125227"/>
    <n v="102"/>
    <x v="0"/>
    <x v="0"/>
    <x v="0"/>
    <x v="0"/>
    <x v="1"/>
  </r>
  <r>
    <x v="0"/>
    <s v="193-1312975-0-72"/>
    <s v="BCP"/>
    <s v="TRA O/CTA - AGENTE"/>
    <d v="2019-09-20T00:00:00"/>
    <n v="84"/>
    <n v="201909"/>
    <n v="3125230"/>
    <n v="84"/>
    <x v="0"/>
    <x v="0"/>
    <x v="0"/>
    <x v="0"/>
    <x v="1"/>
  </r>
  <r>
    <x v="0"/>
    <s v="193-1312975-0-72"/>
    <s v="BCP"/>
    <s v="ENTR.EFEC. 0596313"/>
    <d v="2019-09-20T00:00:00"/>
    <n v="60"/>
    <n v="201909"/>
    <n v="3124734"/>
    <n v="60"/>
    <x v="0"/>
    <x v="0"/>
    <x v="0"/>
    <x v="0"/>
    <x v="1"/>
  </r>
  <r>
    <x v="0"/>
    <s v="0661-63-0200043647"/>
    <s v="BBVA"/>
    <s v="PAGO CUOTA DIANA AHANE"/>
    <d v="2019-09-19T00:00:00"/>
    <n v="5424.4"/>
    <n v="201909"/>
    <n v="3124386"/>
    <n v="5424.4"/>
    <x v="0"/>
    <x v="0"/>
    <x v="0"/>
    <x v="0"/>
    <x v="0"/>
  </r>
  <r>
    <x v="1"/>
    <s v="142-75-0200064790"/>
    <s v="BBVA"/>
    <s v="OP JP 581-22265 BANCA AUTOMATIC"/>
    <d v="2019-09-19T00:00:00"/>
    <n v="261.31"/>
    <n v="201909"/>
    <n v="3124196"/>
    <n v="880.61470000000008"/>
    <x v="0"/>
    <x v="0"/>
    <x v="0"/>
    <x v="0"/>
    <x v="0"/>
  </r>
  <r>
    <x v="1"/>
    <s v="2604-0"/>
    <s v="AELU"/>
    <s v="TRF. DE: 0014518-2-2-001 Depositar a 11932 Nakamatsu Ko"/>
    <d v="2019-09-19T00:00:00"/>
    <n v="1500"/>
    <n v="201909"/>
    <n v="3123947"/>
    <n v="5055"/>
    <x v="0"/>
    <x v="0"/>
    <x v="0"/>
    <x v="0"/>
    <x v="0"/>
  </r>
  <r>
    <x v="0"/>
    <s v="193-03308674-0-93"/>
    <s v="BCP"/>
    <s v="BCR-BANCO DE LA NACION"/>
    <d v="2019-09-19T00:00:00"/>
    <n v="1380000"/>
    <n v="201909"/>
    <n v="3126416"/>
    <n v="1380000"/>
    <x v="0"/>
    <x v="0"/>
    <x v="0"/>
    <x v="0"/>
    <x v="1"/>
  </r>
  <r>
    <x v="0"/>
    <s v="193-1312975-0-72"/>
    <s v="BCP"/>
    <s v="TRAN.CTAS.TERC.BM"/>
    <d v="2019-09-19T00:00:00"/>
    <n v="4000"/>
    <n v="201909"/>
    <n v="3124083"/>
    <n v="4000"/>
    <x v="0"/>
    <x v="0"/>
    <x v="0"/>
    <x v="0"/>
    <x v="1"/>
  </r>
  <r>
    <x v="0"/>
    <s v="193-1312975-0-72"/>
    <s v="BCP"/>
    <s v="ENTR.EFEC. 0592585"/>
    <d v="2019-09-18T00:00:00"/>
    <n v="302"/>
    <n v="201909"/>
    <n v="3123861"/>
    <n v="302"/>
    <x v="0"/>
    <x v="0"/>
    <x v="0"/>
    <x v="0"/>
    <x v="1"/>
  </r>
  <r>
    <x v="0"/>
    <s v="193-1312975-0-72"/>
    <s v="BCP"/>
    <s v="TRA O/CTA - AGENTE"/>
    <d v="2019-09-18T00:00:00"/>
    <n v="20"/>
    <n v="201909"/>
    <n v="3123728"/>
    <n v="20"/>
    <x v="0"/>
    <x v="0"/>
    <x v="0"/>
    <x v="0"/>
    <x v="1"/>
  </r>
  <r>
    <x v="1"/>
    <s v="193-1342935-1-08"/>
    <s v="BCP"/>
    <s v="TRAN.CTAS.TERC.BM"/>
    <d v="2019-09-18T00:00:00"/>
    <n v="92.43"/>
    <n v="201909"/>
    <n v="3123526"/>
    <n v="311.48910000000001"/>
    <x v="0"/>
    <x v="0"/>
    <x v="0"/>
    <x v="0"/>
    <x v="1"/>
  </r>
  <r>
    <x v="1"/>
    <s v="193-1342935-1-08"/>
    <s v="BCP"/>
    <s v="TRAN.CTAS.TERC.HK"/>
    <d v="2019-09-18T00:00:00"/>
    <n v="991.46"/>
    <n v="201909"/>
    <n v="3123530"/>
    <n v="3341.2202000000002"/>
    <x v="0"/>
    <x v="0"/>
    <x v="0"/>
    <x v="0"/>
    <x v="1"/>
  </r>
  <r>
    <x v="1"/>
    <s v="041-3000106347"/>
    <s v="IBK"/>
    <s v="VARGAS PALACIOS ANIBAL EZEQUIE"/>
    <d v="2019-09-17T00:00:00"/>
    <n v="200"/>
    <n v="201909"/>
    <n v="3123117"/>
    <n v="674"/>
    <x v="0"/>
    <x v="0"/>
    <x v="0"/>
    <x v="0"/>
    <x v="0"/>
  </r>
  <r>
    <x v="0"/>
    <s v="100-0006228"/>
    <s v="BANBIF"/>
    <s v="I/S-170919 I617205"/>
    <d v="2019-09-17T00:00:00"/>
    <n v="367.17"/>
    <n v="201909"/>
    <n v="3123481"/>
    <n v="367.17"/>
    <x v="0"/>
    <x v="0"/>
    <x v="0"/>
    <x v="0"/>
    <x v="1"/>
  </r>
  <r>
    <x v="0"/>
    <s v="193-1312975-0-72"/>
    <s v="BCP"/>
    <s v="TRA O/CTA - AGENTE"/>
    <d v="2019-09-17T00:00:00"/>
    <n v="72"/>
    <n v="201909"/>
    <n v="3123458"/>
    <n v="72"/>
    <x v="0"/>
    <x v="0"/>
    <x v="0"/>
    <x v="0"/>
    <x v="1"/>
  </r>
  <r>
    <x v="0"/>
    <s v="0661-63-0200043647"/>
    <s v="BBVA"/>
    <s v="CLUB PUNTA HERMOSA OF. LURIN"/>
    <d v="2019-09-16T00:00:00"/>
    <n v="10"/>
    <n v="201909"/>
    <n v="3122514"/>
    <n v="10"/>
    <x v="0"/>
    <x v="0"/>
    <x v="0"/>
    <x v="0"/>
    <x v="0"/>
  </r>
  <r>
    <x v="0"/>
    <s v="0661-63-0200043647"/>
    <s v="BBVA"/>
    <s v="INGRESO EN EFECTIVO O/P"/>
    <d v="2019-09-16T00:00:00"/>
    <n v="840"/>
    <n v="201909"/>
    <n v="3122284"/>
    <n v="840"/>
    <x v="0"/>
    <x v="0"/>
    <x v="0"/>
    <x v="0"/>
    <x v="1"/>
  </r>
  <r>
    <x v="0"/>
    <s v="193-1312975-0-72"/>
    <s v="BCP"/>
    <s v="TRAN.CTAS.TERC.BM"/>
    <d v="2019-09-16T00:00:00"/>
    <n v="430"/>
    <n v="201909"/>
    <n v="3122879"/>
    <n v="430"/>
    <x v="0"/>
    <x v="0"/>
    <x v="0"/>
    <x v="0"/>
    <x v="1"/>
  </r>
  <r>
    <x v="0"/>
    <s v="0661-63-0200043647"/>
    <s v="BBVA"/>
    <s v="*FRANK VASQUEZ ERIKA PATRICIA"/>
    <d v="2019-09-15T00:00:00"/>
    <n v="1600"/>
    <n v="201909"/>
    <n v="3122207"/>
    <n v="1600"/>
    <x v="0"/>
    <x v="0"/>
    <x v="0"/>
    <x v="0"/>
    <x v="0"/>
  </r>
  <r>
    <x v="1"/>
    <s v="193-1342935-1-08"/>
    <s v="BCP"/>
    <s v="TRAN.CTAS.TERC.BM"/>
    <d v="2019-09-15T00:00:00"/>
    <n v="250"/>
    <n v="201909"/>
    <n v="3122118"/>
    <n v="842.5"/>
    <x v="0"/>
    <x v="0"/>
    <x v="0"/>
    <x v="0"/>
    <x v="1"/>
  </r>
  <r>
    <x v="0"/>
    <s v="193-1312975-0-72"/>
    <s v="BCP"/>
    <s v="TRA O/CTA - AGENTE"/>
    <d v="2019-09-14T00:00:00"/>
    <n v="30"/>
    <n v="201909"/>
    <n v="3122038"/>
    <n v="30"/>
    <x v="0"/>
    <x v="0"/>
    <x v="0"/>
    <x v="0"/>
    <x v="1"/>
  </r>
  <r>
    <x v="1"/>
    <s v="100-0006236"/>
    <s v="BANBIF"/>
    <s v="R/T-R165656 PLENA GLOBAL HOLDI"/>
    <d v="2019-09-13T00:00:00"/>
    <n v="10000"/>
    <n v="201909"/>
    <n v="3121879"/>
    <n v="33700"/>
    <x v="0"/>
    <x v="0"/>
    <x v="0"/>
    <x v="0"/>
    <x v="0"/>
  </r>
  <r>
    <x v="1"/>
    <s v="142-75-0200064790"/>
    <s v="BBVA"/>
    <s v="KAREN KARINA QUISPEALAYA MADUE#O"/>
    <d v="2019-09-13T00:00:00"/>
    <n v="558.11"/>
    <n v="201909"/>
    <n v="3121510"/>
    <n v="1880.8307000000002"/>
    <x v="0"/>
    <x v="0"/>
    <x v="0"/>
    <x v="0"/>
    <x v="0"/>
  </r>
  <r>
    <x v="0"/>
    <s v="193-1312975-0-72"/>
    <s v="BCP"/>
    <s v="ENTR.EFEC. 0735325"/>
    <d v="2019-09-13T00:00:00"/>
    <n v="1570"/>
    <n v="201909"/>
    <n v="3121338"/>
    <n v="1570"/>
    <x v="0"/>
    <x v="0"/>
    <x v="0"/>
    <x v="0"/>
    <x v="1"/>
  </r>
  <r>
    <x v="0"/>
    <s v="193-1312975-0-72"/>
    <s v="BCP"/>
    <s v="TRAN.CTAS.TERC.BM"/>
    <d v="2019-09-13T00:00:00"/>
    <n v="528"/>
    <n v="201909"/>
    <n v="3121368"/>
    <n v="528"/>
    <x v="0"/>
    <x v="0"/>
    <x v="0"/>
    <x v="0"/>
    <x v="1"/>
  </r>
  <r>
    <x v="1"/>
    <s v="193-1342935-1-08"/>
    <s v="BCP"/>
    <s v="ENTR.EFEC. 0356167"/>
    <d v="2019-09-13T00:00:00"/>
    <n v="8"/>
    <n v="201909"/>
    <n v="3121648"/>
    <n v="26.96"/>
    <x v="0"/>
    <x v="0"/>
    <x v="0"/>
    <x v="0"/>
    <x v="1"/>
  </r>
  <r>
    <x v="1"/>
    <s v="100-0006236"/>
    <s v="BANBIF"/>
    <s v="R/T-R165550 INTERNATIONAL WEIG"/>
    <d v="2019-09-12T00:00:00"/>
    <n v="18000"/>
    <n v="201909"/>
    <n v="3120888"/>
    <n v="60660"/>
    <x v="0"/>
    <x v="0"/>
    <x v="0"/>
    <x v="0"/>
    <x v="0"/>
  </r>
  <r>
    <x v="1"/>
    <s v="142-75-0200064790"/>
    <s v="BBVA"/>
    <s v="LORENA GUEVARA CORREA"/>
    <d v="2019-09-12T00:00:00"/>
    <n v="200"/>
    <n v="201909"/>
    <n v="3120994"/>
    <n v="674"/>
    <x v="0"/>
    <x v="0"/>
    <x v="0"/>
    <x v="0"/>
    <x v="0"/>
  </r>
  <r>
    <x v="0"/>
    <s v="0661-63-0200043647"/>
    <s v="BBVA"/>
    <s v="INGRESO EN EFECTIVO AEP CANDY MARKE"/>
    <d v="2019-09-11T00:00:00"/>
    <n v="240"/>
    <n v="201909"/>
    <n v="3120354"/>
    <n v="240"/>
    <x v="0"/>
    <x v="0"/>
    <x v="0"/>
    <x v="0"/>
    <x v="1"/>
  </r>
  <r>
    <x v="0"/>
    <s v="0661-63-0200043647"/>
    <s v="BBVA"/>
    <s v="*OROZCO HENAO LEIDY MARCELA"/>
    <d v="2019-09-10T00:00:00"/>
    <n v="150"/>
    <n v="201909"/>
    <n v="3120123"/>
    <n v="150"/>
    <x v="0"/>
    <x v="0"/>
    <x v="0"/>
    <x v="0"/>
    <x v="0"/>
  </r>
  <r>
    <x v="0"/>
    <s v="193-1312975-0-72"/>
    <s v="BCP"/>
    <s v="TRA O/CTA - AGENTE"/>
    <d v="2019-09-10T00:00:00"/>
    <n v="60.4"/>
    <n v="201909"/>
    <n v="3119695"/>
    <n v="60.4"/>
    <x v="0"/>
    <x v="0"/>
    <x v="0"/>
    <x v="0"/>
    <x v="1"/>
  </r>
  <r>
    <x v="0"/>
    <s v="044-460-0009-24"/>
    <s v="SCOTIA"/>
    <s v="ADAUTO DIAZ, ABELARDO MANUEL"/>
    <d v="2019-09-09T00:00:00"/>
    <n v="652.44000000000005"/>
    <n v="201909"/>
    <n v="3119232"/>
    <n v="652.44000000000005"/>
    <x v="0"/>
    <x v="0"/>
    <x v="0"/>
    <x v="0"/>
    <x v="0"/>
  </r>
  <r>
    <x v="0"/>
    <s v="193-1312975-0-72"/>
    <s v="BCP"/>
    <s v="TRA O/CTA - AGENTE"/>
    <d v="2019-09-09T00:00:00"/>
    <n v="35"/>
    <n v="201909"/>
    <n v="3118951"/>
    <n v="35"/>
    <x v="0"/>
    <x v="0"/>
    <x v="0"/>
    <x v="0"/>
    <x v="1"/>
  </r>
  <r>
    <x v="0"/>
    <s v="193-1312975-0-72"/>
    <s v="BCP"/>
    <s v="TRA O/CTA - AGENTE"/>
    <d v="2019-09-09T00:00:00"/>
    <n v="320"/>
    <n v="201909"/>
    <n v="3119504"/>
    <n v="320"/>
    <x v="0"/>
    <x v="0"/>
    <x v="0"/>
    <x v="0"/>
    <x v="1"/>
  </r>
  <r>
    <x v="0"/>
    <s v="193-1312975-0-72"/>
    <s v="BCP"/>
    <s v="ENTR.EFEC. 0209258"/>
    <d v="2019-09-09T00:00:00"/>
    <n v="3894"/>
    <n v="201909"/>
    <n v="3119016"/>
    <n v="3894"/>
    <x v="0"/>
    <x v="0"/>
    <x v="0"/>
    <x v="0"/>
    <x v="1"/>
  </r>
  <r>
    <x v="0"/>
    <s v="193-1312975-0-72"/>
    <s v="BCP"/>
    <s v="TRAN.CTAS.TERC.HK"/>
    <d v="2019-09-08T00:00:00"/>
    <n v="200"/>
    <n v="201909"/>
    <n v="3118816"/>
    <n v="200"/>
    <x v="0"/>
    <x v="0"/>
    <x v="0"/>
    <x v="0"/>
    <x v="1"/>
  </r>
  <r>
    <x v="0"/>
    <s v="041-3000106330"/>
    <s v="IBK"/>
    <s v="ANGULO GONZALES HUMBERTO AUREL"/>
    <d v="2019-09-07T00:00:00"/>
    <n v="800"/>
    <n v="201909"/>
    <n v="3118874"/>
    <n v="800"/>
    <x v="0"/>
    <x v="0"/>
    <x v="0"/>
    <x v="0"/>
    <x v="0"/>
  </r>
  <r>
    <x v="0"/>
    <s v="0661-63-0200043647"/>
    <s v="BBVA"/>
    <s v="*MAITA QUESADA DENISSE PATRICIA"/>
    <d v="2019-09-07T00:00:00"/>
    <n v="700"/>
    <n v="201909"/>
    <n v="3118804"/>
    <n v="700"/>
    <x v="0"/>
    <x v="0"/>
    <x v="0"/>
    <x v="0"/>
    <x v="0"/>
  </r>
  <r>
    <x v="0"/>
    <s v="193-1312975-0-72"/>
    <s v="BCP"/>
    <s v="DEPOSITO EFECTIVO"/>
    <d v="2019-09-07T00:00:00"/>
    <n v="800"/>
    <n v="201909"/>
    <n v="3118833"/>
    <n v="800"/>
    <x v="0"/>
    <x v="0"/>
    <x v="0"/>
    <x v="0"/>
    <x v="1"/>
  </r>
  <r>
    <x v="0"/>
    <s v="041-3000106330"/>
    <s v="IBK"/>
    <s v="DEP.EFECTI - -"/>
    <d v="2019-09-07T00:00:00"/>
    <n v="800"/>
    <n v="201909"/>
    <n v="3118873"/>
    <n v="800"/>
    <x v="0"/>
    <x v="0"/>
    <x v="0"/>
    <x v="0"/>
    <x v="1"/>
  </r>
  <r>
    <x v="0"/>
    <s v="193-1312975-0-72"/>
    <s v="BCP"/>
    <s v="ENTR.EFEC. 0830634"/>
    <d v="2019-09-07T00:00:00"/>
    <n v="1600"/>
    <n v="201909"/>
    <n v="3118758"/>
    <n v="1600"/>
    <x v="0"/>
    <x v="0"/>
    <x v="0"/>
    <x v="0"/>
    <x v="1"/>
  </r>
  <r>
    <x v="0"/>
    <s v="193-1312975-0-72"/>
    <s v="BCP"/>
    <s v="ENTR.EFEC. 0207472"/>
    <d v="2019-09-07T00:00:00"/>
    <n v="1600"/>
    <n v="201909"/>
    <n v="3118761"/>
    <n v="1600"/>
    <x v="0"/>
    <x v="0"/>
    <x v="0"/>
    <x v="0"/>
    <x v="1"/>
  </r>
  <r>
    <x v="0"/>
    <s v="193-1312975-0-72"/>
    <s v="BCP"/>
    <s v="TRA O/CTA - AGENTE"/>
    <d v="2019-09-07T00:00:00"/>
    <n v="800"/>
    <n v="201909"/>
    <n v="3118811"/>
    <n v="800"/>
    <x v="0"/>
    <x v="0"/>
    <x v="0"/>
    <x v="0"/>
    <x v="1"/>
  </r>
  <r>
    <x v="0"/>
    <s v="193-1312975-0-72"/>
    <s v="BCP"/>
    <s v="TRAN.CTAS.TERC.BM"/>
    <d v="2019-09-07T00:00:00"/>
    <n v="1600"/>
    <n v="201909"/>
    <n v="3118827"/>
    <n v="1600"/>
    <x v="0"/>
    <x v="0"/>
    <x v="0"/>
    <x v="0"/>
    <x v="1"/>
  </r>
  <r>
    <x v="0"/>
    <s v="193-1312975-0-72"/>
    <s v="BCP"/>
    <s v="TRANSF OTRA CUENTA"/>
    <d v="2019-09-07T00:00:00"/>
    <n v="1100"/>
    <n v="201909"/>
    <n v="3118830"/>
    <n v="1100"/>
    <x v="0"/>
    <x v="0"/>
    <x v="0"/>
    <x v="0"/>
    <x v="1"/>
  </r>
  <r>
    <x v="0"/>
    <s v="193-1312975-0-72"/>
    <s v="BCP"/>
    <s v="TRAN.CTAS.TERC.BM"/>
    <d v="2019-09-07T00:00:00"/>
    <n v="800"/>
    <n v="201909"/>
    <n v="3118837"/>
    <n v="800"/>
    <x v="0"/>
    <x v="0"/>
    <x v="0"/>
    <x v="0"/>
    <x v="1"/>
  </r>
  <r>
    <x v="0"/>
    <s v="193-1312975-0-72"/>
    <s v="BCP"/>
    <s v="TRAN.CTAS.TERC.BM"/>
    <d v="2019-09-07T00:00:00"/>
    <n v="800"/>
    <n v="201909"/>
    <n v="3118838"/>
    <n v="800"/>
    <x v="0"/>
    <x v="0"/>
    <x v="0"/>
    <x v="0"/>
    <x v="1"/>
  </r>
  <r>
    <x v="0"/>
    <s v="193-1312975-0-72"/>
    <s v="BCP"/>
    <s v="TRAN.CTAS.TERC.HK"/>
    <d v="2019-09-07T00:00:00"/>
    <n v="600"/>
    <n v="201909"/>
    <n v="3118844"/>
    <n v="600"/>
    <x v="0"/>
    <x v="0"/>
    <x v="0"/>
    <x v="0"/>
    <x v="1"/>
  </r>
  <r>
    <x v="1"/>
    <s v="193-1342935-1-08"/>
    <s v="BCP"/>
    <s v="TRAN.CTAS.TERC.BM"/>
    <d v="2019-09-07T00:00:00"/>
    <n v="29.33"/>
    <n v="201909"/>
    <n v="3118860"/>
    <n v="98.842100000000002"/>
    <x v="0"/>
    <x v="0"/>
    <x v="0"/>
    <x v="0"/>
    <x v="1"/>
  </r>
  <r>
    <x v="0"/>
    <s v="041-3000106330"/>
    <s v="IBK"/>
    <s v="FLORES CABALLERO LYNN SUSAN"/>
    <d v="2019-09-06T00:00:00"/>
    <n v="800"/>
    <n v="201909"/>
    <n v="3118711"/>
    <n v="800"/>
    <x v="0"/>
    <x v="0"/>
    <x v="0"/>
    <x v="0"/>
    <x v="0"/>
  </r>
  <r>
    <x v="0"/>
    <s v="0661-63-0200043647"/>
    <s v="BBVA"/>
    <s v="INGRESO EN EFECTIVO UNIVERSIDAD CAT"/>
    <d v="2019-09-06T00:00:00"/>
    <n v="800"/>
    <n v="201909"/>
    <n v="3118319"/>
    <n v="800"/>
    <x v="0"/>
    <x v="0"/>
    <x v="0"/>
    <x v="0"/>
    <x v="1"/>
  </r>
  <r>
    <x v="0"/>
    <s v="193-1312975-0-72"/>
    <s v="BCP"/>
    <s v="TRAN.CTAS.TERC.BM"/>
    <d v="2019-09-06T00:00:00"/>
    <n v="689"/>
    <n v="201909"/>
    <n v="3118641"/>
    <n v="689"/>
    <x v="0"/>
    <x v="0"/>
    <x v="0"/>
    <x v="0"/>
    <x v="1"/>
  </r>
  <r>
    <x v="0"/>
    <s v="193-1312975-0-72"/>
    <s v="BCP"/>
    <s v="TRA O/CTA - AGENTE"/>
    <d v="2019-09-06T00:00:00"/>
    <n v="63"/>
    <n v="201909"/>
    <n v="3118661"/>
    <n v="63"/>
    <x v="0"/>
    <x v="0"/>
    <x v="0"/>
    <x v="0"/>
    <x v="1"/>
  </r>
  <r>
    <x v="1"/>
    <s v="193-1342935-1-08"/>
    <s v="BCP"/>
    <s v="ENTR.EFEC. 0609515"/>
    <d v="2019-09-06T00:00:00"/>
    <n v="5200"/>
    <n v="201909"/>
    <n v="3118446"/>
    <n v="17524"/>
    <x v="0"/>
    <x v="0"/>
    <x v="0"/>
    <x v="0"/>
    <x v="1"/>
  </r>
  <r>
    <x v="1"/>
    <s v="193-1342935-1-08"/>
    <s v="BCP"/>
    <s v="TRAN.CTAS.TERC.BM"/>
    <d v="2019-09-05T00:00:00"/>
    <n v="100"/>
    <n v="201909"/>
    <n v="3117949"/>
    <n v="337"/>
    <x v="0"/>
    <x v="0"/>
    <x v="0"/>
    <x v="0"/>
    <x v="1"/>
  </r>
  <r>
    <x v="1"/>
    <s v="142-75-0200064790"/>
    <s v="BBVA"/>
    <s v="LORENA GUEVARA CORREA"/>
    <d v="2019-09-04T00:00:00"/>
    <n v="300"/>
    <n v="201909"/>
    <n v="3117103"/>
    <n v="1011"/>
    <x v="0"/>
    <x v="0"/>
    <x v="0"/>
    <x v="0"/>
    <x v="0"/>
  </r>
  <r>
    <x v="0"/>
    <s v="193-1312975-0-72"/>
    <s v="BCP"/>
    <s v="ENTR.EFEC. 0965510"/>
    <d v="2019-09-04T00:00:00"/>
    <n v="140"/>
    <n v="201909"/>
    <n v="3116632"/>
    <n v="140"/>
    <x v="0"/>
    <x v="0"/>
    <x v="0"/>
    <x v="0"/>
    <x v="1"/>
  </r>
  <r>
    <x v="0"/>
    <s v="193-1312975-0-72"/>
    <s v="BCP"/>
    <s v="ENTR.EFEC. 0965321"/>
    <d v="2019-09-04T00:00:00"/>
    <n v="140"/>
    <n v="201909"/>
    <n v="3116633"/>
    <n v="140"/>
    <x v="0"/>
    <x v="0"/>
    <x v="0"/>
    <x v="0"/>
    <x v="1"/>
  </r>
  <r>
    <x v="0"/>
    <s v="193-1312975-0-72"/>
    <s v="BCP"/>
    <s v="TRA O/CTA - AGENTE"/>
    <d v="2019-09-04T00:00:00"/>
    <n v="102"/>
    <n v="201909"/>
    <n v="3117036"/>
    <n v="102"/>
    <x v="0"/>
    <x v="0"/>
    <x v="0"/>
    <x v="0"/>
    <x v="1"/>
  </r>
  <r>
    <x v="0"/>
    <s v="193-1312975-0-72"/>
    <s v="BCP"/>
    <s v="TRAN.CTAS.TERC.HK"/>
    <d v="2019-09-04T00:00:00"/>
    <n v="300"/>
    <n v="201909"/>
    <n v="3116515"/>
    <n v="300"/>
    <x v="0"/>
    <x v="0"/>
    <x v="0"/>
    <x v="0"/>
    <x v="1"/>
  </r>
  <r>
    <x v="1"/>
    <s v="142-75-0200064790"/>
    <s v="BBVA"/>
    <s v="INGRESO EN EFECTIVO OF. EL PINO"/>
    <d v="2019-09-04T00:00:00"/>
    <n v="7"/>
    <n v="201909"/>
    <n v="3116662"/>
    <n v="23.59"/>
    <x v="0"/>
    <x v="0"/>
    <x v="0"/>
    <x v="0"/>
    <x v="1"/>
  </r>
  <r>
    <x v="1"/>
    <s v="142-75-0200064790"/>
    <s v="BBVA"/>
    <s v="INGRESO EN EFECTIVO OF. EL PINO"/>
    <d v="2019-09-04T00:00:00"/>
    <n v="652.17999999999995"/>
    <n v="201909"/>
    <n v="3116663"/>
    <n v="2197.8465999999999"/>
    <x v="0"/>
    <x v="0"/>
    <x v="0"/>
    <x v="0"/>
    <x v="1"/>
  </r>
  <r>
    <x v="0"/>
    <s v="044-460-0009-24"/>
    <s v="SCOTIA"/>
    <s v="RAMOS PACHECO, JORGE ANTONIO"/>
    <d v="2019-09-03T00:00:00"/>
    <n v="800"/>
    <n v="201909"/>
    <n v="3115725"/>
    <n v="800"/>
    <x v="0"/>
    <x v="0"/>
    <x v="0"/>
    <x v="0"/>
    <x v="0"/>
  </r>
  <r>
    <x v="0"/>
    <s v="044-460-0009-24"/>
    <s v="SCOTIA"/>
    <s v="TAVERA NEGRON, JAIME"/>
    <d v="2019-09-03T00:00:00"/>
    <n v="70"/>
    <n v="201909"/>
    <n v="3116305"/>
    <n v="70"/>
    <x v="0"/>
    <x v="0"/>
    <x v="0"/>
    <x v="0"/>
    <x v="0"/>
  </r>
  <r>
    <x v="0"/>
    <s v="0661-63-0200043647"/>
    <s v="BBVA"/>
    <s v="*SEMINARIO EGUILUZ ROBERTO MIGUEL"/>
    <d v="2019-09-03T00:00:00"/>
    <n v="800"/>
    <n v="201909"/>
    <n v="3116461"/>
    <n v="800"/>
    <x v="0"/>
    <x v="0"/>
    <x v="0"/>
    <x v="0"/>
    <x v="0"/>
  </r>
  <r>
    <x v="0"/>
    <s v="0661-63-0200043647"/>
    <s v="BBVA"/>
    <s v="*BONILLA BONILLA CARLOS ALFONSO"/>
    <d v="2019-09-03T00:00:00"/>
    <n v="1460"/>
    <n v="201909"/>
    <n v="3116465"/>
    <n v="1460"/>
    <x v="0"/>
    <x v="0"/>
    <x v="0"/>
    <x v="0"/>
    <x v="0"/>
  </r>
  <r>
    <x v="0"/>
    <s v="193-1312975-0-72"/>
    <s v="BCP"/>
    <s v="DE COOPERATIVA DE AHOR"/>
    <d v="2019-09-03T00:00:00"/>
    <n v="3641.36"/>
    <n v="201909"/>
    <n v="3116198"/>
    <n v="3641.36"/>
    <x v="0"/>
    <x v="0"/>
    <x v="0"/>
    <x v="0"/>
    <x v="0"/>
  </r>
  <r>
    <x v="0"/>
    <s v="193-1312975-0-72"/>
    <s v="BCP"/>
    <s v="000LOTE 4D PROFUTURO A"/>
    <d v="2019-09-03T00:00:00"/>
    <n v="5089.1899999999996"/>
    <n v="201909"/>
    <n v="3116032"/>
    <n v="5089.1899999999996"/>
    <x v="0"/>
    <x v="0"/>
    <x v="0"/>
    <x v="0"/>
    <x v="0"/>
  </r>
  <r>
    <x v="0"/>
    <s v="0661-63-0200043647"/>
    <s v="BBVA"/>
    <s v="*BACIGALUPO CAVERO XIMENA FLOR DE MA"/>
    <d v="2019-09-02T00:00:00"/>
    <n v="700"/>
    <n v="201909"/>
    <n v="3115700"/>
    <n v="700"/>
    <x v="0"/>
    <x v="0"/>
    <x v="0"/>
    <x v="0"/>
    <x v="0"/>
  </r>
  <r>
    <x v="0"/>
    <s v="193-1312975-0-72"/>
    <s v="BCP"/>
    <s v="000LOTE 4D PROFUTURO A"/>
    <d v="2019-09-02T00:00:00"/>
    <n v="12670.44"/>
    <n v="201909"/>
    <n v="3115124"/>
    <n v="12670.44"/>
    <x v="0"/>
    <x v="0"/>
    <x v="0"/>
    <x v="0"/>
    <x v="0"/>
  </r>
  <r>
    <x v="1"/>
    <s v="142-75-0200064790"/>
    <s v="BBVA"/>
    <s v="JORGE EDGAR JOSE MU#IZ ZICHES"/>
    <d v="2019-09-02T00:00:00"/>
    <n v="3300"/>
    <n v="201909"/>
    <n v="3115085"/>
    <n v="11121"/>
    <x v="0"/>
    <x v="0"/>
    <x v="0"/>
    <x v="0"/>
    <x v="0"/>
  </r>
  <r>
    <x v="1"/>
    <s v="193-1342935-1-08"/>
    <s v="BCP"/>
    <s v="TRANSFEREN DE TERCEROS"/>
    <d v="2019-09-02T00:00:00"/>
    <n v="17500"/>
    <n v="201909"/>
    <n v="3115253"/>
    <n v="58975"/>
    <x v="0"/>
    <x v="0"/>
    <x v="0"/>
    <x v="0"/>
    <x v="1"/>
  </r>
  <r>
    <x v="0"/>
    <s v="193-1312975-0-72"/>
    <s v="BCP"/>
    <s v="ENTR.EFEC. 0566141"/>
    <d v="2019-09-02T00:00:00"/>
    <n v="10"/>
    <n v="201909"/>
    <n v="3115180"/>
    <n v="10"/>
    <x v="0"/>
    <x v="0"/>
    <x v="0"/>
    <x v="0"/>
    <x v="1"/>
  </r>
  <r>
    <x v="0"/>
    <s v="041-3000106330"/>
    <s v="IBK"/>
    <s v="KANASHIRO NAKAHODO ROMY"/>
    <d v="2019-09-01T00:00:00"/>
    <n v="167.26"/>
    <n v="201909"/>
    <n v="3114758"/>
    <n v="167.26"/>
    <x v="0"/>
    <x v="0"/>
    <x v="0"/>
    <x v="0"/>
    <x v="0"/>
  </r>
  <r>
    <x v="0"/>
    <s v="193-1312975-0-72"/>
    <s v="BCP"/>
    <s v="TRAN.CTAS.TERC.BM"/>
    <d v="2019-09-01T00:00:00"/>
    <n v="1150"/>
    <n v="201909"/>
    <n v="3115606"/>
    <n v="1150"/>
    <x v="0"/>
    <x v="0"/>
    <x v="0"/>
    <x v="0"/>
    <x v="1"/>
  </r>
  <r>
    <x v="0"/>
    <s v="193-1312975-0-72"/>
    <s v="BCP"/>
    <s v="DE COOPERATIVA DE AHOR"/>
    <d v="2019-08-31T00:00:00"/>
    <n v="9200"/>
    <n v="201908"/>
    <n v="3114721"/>
    <n v="9200"/>
    <x v="0"/>
    <x v="1"/>
    <x v="0"/>
    <x v="0"/>
    <x v="0"/>
  </r>
  <r>
    <x v="0"/>
    <s v="193-1312975-0-72"/>
    <s v="BCP"/>
    <s v="TRAN.CTAS.TERC.HK"/>
    <d v="2019-08-31T00:00:00"/>
    <n v="800"/>
    <n v="201908"/>
    <n v="3114650"/>
    <n v="800"/>
    <x v="0"/>
    <x v="1"/>
    <x v="0"/>
    <x v="0"/>
    <x v="1"/>
  </r>
  <r>
    <x v="0"/>
    <s v="193-1312975-0-72"/>
    <s v="BCP"/>
    <s v="TRAN.CTAS.TERC.BM"/>
    <d v="2019-08-31T00:00:00"/>
    <n v="1000"/>
    <n v="201908"/>
    <n v="3114729"/>
    <n v="1000"/>
    <x v="0"/>
    <x v="1"/>
    <x v="0"/>
    <x v="0"/>
    <x v="1"/>
  </r>
  <r>
    <x v="0"/>
    <s v="193-1312975-0-72"/>
    <s v="BCP"/>
    <s v="TRAN.CTAS.TERC.BM"/>
    <d v="2019-08-31T00:00:00"/>
    <n v="10"/>
    <n v="201908"/>
    <n v="3114701"/>
    <n v="10"/>
    <x v="0"/>
    <x v="1"/>
    <x v="0"/>
    <x v="0"/>
    <x v="1"/>
  </r>
  <r>
    <x v="1"/>
    <s v="194-09096274-1-54"/>
    <s v="BCP"/>
    <s v="DE TRADENS CONSULT"/>
    <d v="2019-08-29T00:00:00"/>
    <n v="1795"/>
    <n v="201908"/>
    <n v="3114535"/>
    <n v="6049.1500000000005"/>
    <x v="0"/>
    <x v="1"/>
    <x v="0"/>
    <x v="0"/>
    <x v="0"/>
  </r>
  <r>
    <x v="0"/>
    <s v="193-1312975-0-72"/>
    <s v="BCP"/>
    <s v="TRA O/CTA - AGENTE"/>
    <d v="2019-08-29T00:00:00"/>
    <n v="200"/>
    <n v="201908"/>
    <n v="3114081"/>
    <n v="200"/>
    <x v="0"/>
    <x v="1"/>
    <x v="0"/>
    <x v="0"/>
    <x v="1"/>
  </r>
  <r>
    <x v="0"/>
    <s v="193-1312975-0-72"/>
    <s v="BCP"/>
    <s v="TRA O/CTA - AGENTE"/>
    <d v="2019-08-28T00:00:00"/>
    <n v="200"/>
    <n v="201908"/>
    <n v="3113577"/>
    <n v="200"/>
    <x v="0"/>
    <x v="1"/>
    <x v="0"/>
    <x v="0"/>
    <x v="1"/>
  </r>
  <r>
    <x v="0"/>
    <s v="193-1312975-0-72"/>
    <s v="BCP"/>
    <s v="ENTR.EFEC. 0683894"/>
    <d v="2019-08-28T00:00:00"/>
    <n v="429"/>
    <n v="201908"/>
    <n v="3113370"/>
    <n v="429"/>
    <x v="0"/>
    <x v="1"/>
    <x v="0"/>
    <x v="0"/>
    <x v="1"/>
  </r>
  <r>
    <x v="0"/>
    <s v="193-1312975-0-72"/>
    <s v="BCP"/>
    <s v="ENTR.EFEC. 0621635"/>
    <d v="2019-08-28T00:00:00"/>
    <n v="4197.8"/>
    <n v="201908"/>
    <n v="3113372"/>
    <n v="4197.8"/>
    <x v="0"/>
    <x v="1"/>
    <x v="0"/>
    <x v="0"/>
    <x v="1"/>
  </r>
  <r>
    <x v="1"/>
    <s v="193-1342935-1-08"/>
    <s v="BCP"/>
    <s v="ENTREGA C/CHEQUES FUE"/>
    <d v="2019-08-28T00:00:00"/>
    <n v="2856.5"/>
    <n v="201908"/>
    <n v="3113299"/>
    <n v="9626.4050000000007"/>
    <x v="0"/>
    <x v="1"/>
    <x v="0"/>
    <x v="0"/>
    <x v="1"/>
  </r>
  <r>
    <x v="1"/>
    <s v="193-1342935-1-08"/>
    <s v="BCP"/>
    <s v="ENTR.EFEC. 0602029"/>
    <d v="2019-08-28T00:00:00"/>
    <n v="1365.19"/>
    <n v="201908"/>
    <n v="3113377"/>
    <n v="4600.6903000000002"/>
    <x v="0"/>
    <x v="1"/>
    <x v="0"/>
    <x v="0"/>
    <x v="1"/>
  </r>
  <r>
    <x v="0"/>
    <s v="193-1312975-0-72"/>
    <s v="BCP"/>
    <s v="ENTR.EFEC. 0621103"/>
    <d v="2019-08-27T00:00:00"/>
    <n v="480"/>
    <n v="201908"/>
    <n v="3112320"/>
    <n v="480"/>
    <x v="0"/>
    <x v="1"/>
    <x v="0"/>
    <x v="0"/>
    <x v="1"/>
  </r>
  <r>
    <x v="0"/>
    <s v="193-1312975-0-72"/>
    <s v="BCP"/>
    <s v="TRAN.CTAS.TERC.HK"/>
    <d v="2019-08-27T00:00:00"/>
    <n v="20"/>
    <n v="201908"/>
    <n v="3112323"/>
    <n v="20"/>
    <x v="0"/>
    <x v="1"/>
    <x v="0"/>
    <x v="0"/>
    <x v="1"/>
  </r>
  <r>
    <x v="0"/>
    <s v="0661-63-0200043647"/>
    <s v="BBVA"/>
    <s v="*ACOSTA VILLANUEVA MIGUEL ANGEL"/>
    <d v="2019-08-26T00:00:00"/>
    <n v="800"/>
    <n v="201908"/>
    <n v="3111660"/>
    <n v="800"/>
    <x v="0"/>
    <x v="1"/>
    <x v="0"/>
    <x v="0"/>
    <x v="0"/>
  </r>
  <r>
    <x v="0"/>
    <s v="193-1312975-0-72"/>
    <s v="BCP"/>
    <s v="DE GRUPO CEISA SAC"/>
    <d v="2019-08-26T00:00:00"/>
    <n v="110"/>
    <n v="201908"/>
    <n v="3112109"/>
    <n v="110"/>
    <x v="0"/>
    <x v="1"/>
    <x v="0"/>
    <x v="0"/>
    <x v="0"/>
  </r>
  <r>
    <x v="0"/>
    <s v="193-1312975-0-72"/>
    <s v="BCP"/>
    <s v="TRANSF OTRA CUENTA"/>
    <d v="2019-08-26T00:00:00"/>
    <n v="10"/>
    <n v="201908"/>
    <n v="3111776"/>
    <n v="10"/>
    <x v="0"/>
    <x v="1"/>
    <x v="0"/>
    <x v="0"/>
    <x v="1"/>
  </r>
  <r>
    <x v="1"/>
    <s v="041-3000106347"/>
    <s v="IBK"/>
    <s v="GOYA OSHIRO JOYSSI KAORI"/>
    <d v="2019-08-24T00:00:00"/>
    <n v="950"/>
    <n v="201908"/>
    <n v="3112199"/>
    <n v="3201.5"/>
    <x v="0"/>
    <x v="1"/>
    <x v="0"/>
    <x v="0"/>
    <x v="0"/>
  </r>
  <r>
    <x v="1"/>
    <s v="041-3000106347"/>
    <s v="IBK"/>
    <s v="GOYA OSHIRO JOYSSI KAORI"/>
    <d v="2019-08-24T00:00:00"/>
    <n v="950"/>
    <n v="201908"/>
    <n v="3112198"/>
    <n v="3201.5"/>
    <x v="0"/>
    <x v="1"/>
    <x v="0"/>
    <x v="0"/>
    <x v="0"/>
  </r>
  <r>
    <x v="1"/>
    <s v="041-3000106347"/>
    <s v="IBK"/>
    <s v="GOYA OSHIRO JOYSSI KAORI"/>
    <d v="2019-08-24T00:00:00"/>
    <n v="950"/>
    <n v="201908"/>
    <n v="3112197"/>
    <n v="3201.5"/>
    <x v="0"/>
    <x v="1"/>
    <x v="0"/>
    <x v="0"/>
    <x v="0"/>
  </r>
  <r>
    <x v="0"/>
    <s v="0661-63-0200043647"/>
    <s v="BBVA"/>
    <s v="DNI 40945836 OF.LA MARINA"/>
    <d v="2019-08-24T00:00:00"/>
    <n v="800"/>
    <n v="201908"/>
    <n v="3111222"/>
    <n v="800"/>
    <x v="0"/>
    <x v="1"/>
    <x v="0"/>
    <x v="0"/>
    <x v="1"/>
  </r>
  <r>
    <x v="0"/>
    <s v="193-1312975-0-72"/>
    <s v="BCP"/>
    <s v="TRAN.CTAS.TERC.BM"/>
    <d v="2019-08-24T00:00:00"/>
    <n v="800"/>
    <n v="201908"/>
    <n v="3111316"/>
    <n v="800"/>
    <x v="0"/>
    <x v="1"/>
    <x v="0"/>
    <x v="0"/>
    <x v="1"/>
  </r>
  <r>
    <x v="1"/>
    <s v="100-0006236"/>
    <s v="BANBIF"/>
    <s v="SILVA DAVILA JORGE ENRIQUE"/>
    <d v="2019-08-23T00:00:00"/>
    <n v="5000"/>
    <n v="201908"/>
    <n v="3112078"/>
    <n v="16850"/>
    <x v="0"/>
    <x v="1"/>
    <x v="0"/>
    <x v="0"/>
    <x v="0"/>
  </r>
  <r>
    <x v="0"/>
    <s v="041-3000106330"/>
    <s v="IBK"/>
    <s v="DEP.EFECTI - -"/>
    <d v="2019-08-23T00:00:00"/>
    <n v="150"/>
    <n v="201908"/>
    <n v="3110823"/>
    <n v="150"/>
    <x v="0"/>
    <x v="1"/>
    <x v="0"/>
    <x v="0"/>
    <x v="1"/>
  </r>
  <r>
    <x v="0"/>
    <s v="193-1312975-0-72"/>
    <s v="BCP"/>
    <s v="DE OTRA CUENTA"/>
    <d v="2019-08-23T00:00:00"/>
    <n v="22543.18"/>
    <n v="201908"/>
    <n v="3110565"/>
    <n v="22543.18"/>
    <x v="0"/>
    <x v="1"/>
    <x v="0"/>
    <x v="0"/>
    <x v="1"/>
  </r>
  <r>
    <x v="0"/>
    <s v="193-1312975-0-72"/>
    <s v="BCP"/>
    <s v="TRAN.CTAS.TERC.BM"/>
    <d v="2019-08-23T00:00:00"/>
    <n v="40"/>
    <n v="201908"/>
    <n v="3110781"/>
    <n v="40"/>
    <x v="0"/>
    <x v="1"/>
    <x v="0"/>
    <x v="0"/>
    <x v="1"/>
  </r>
  <r>
    <x v="0"/>
    <s v="0661-63-0200043647"/>
    <s v="BBVA"/>
    <s v="DEPOS. EN CTA. 001106610200043647"/>
    <d v="2019-08-22T00:00:00"/>
    <n v="150"/>
    <n v="201908"/>
    <n v="3110167"/>
    <n v="150"/>
    <x v="0"/>
    <x v="1"/>
    <x v="0"/>
    <x v="0"/>
    <x v="1"/>
  </r>
  <r>
    <x v="0"/>
    <s v="193-1312975-0-72"/>
    <s v="BCP"/>
    <s v="TRAN.CTAS.TERC.BM"/>
    <d v="2019-08-22T00:00:00"/>
    <n v="200"/>
    <n v="201908"/>
    <n v="3109968"/>
    <n v="200"/>
    <x v="0"/>
    <x v="1"/>
    <x v="0"/>
    <x v="0"/>
    <x v="1"/>
  </r>
  <r>
    <x v="0"/>
    <s v="100-0006228"/>
    <s v="BANBIF"/>
    <s v="DEPOSITO DE MINERALES CAJAMARQUILLA SAC"/>
    <d v="2019-08-21T00:00:00"/>
    <n v="10"/>
    <n v="201908"/>
    <n v="3110165"/>
    <n v="10"/>
    <x v="0"/>
    <x v="1"/>
    <x v="0"/>
    <x v="0"/>
    <x v="0"/>
  </r>
  <r>
    <x v="0"/>
    <s v="100-0006228"/>
    <s v="BANBIF"/>
    <s v="DEPOSITO DE MINERALES CAJAMARQUILLA SAC"/>
    <d v="2019-08-21T00:00:00"/>
    <n v="110"/>
    <n v="201908"/>
    <n v="3110164"/>
    <n v="110"/>
    <x v="0"/>
    <x v="1"/>
    <x v="0"/>
    <x v="0"/>
    <x v="0"/>
  </r>
  <r>
    <x v="0"/>
    <s v="193-1312975-0-72"/>
    <s v="BCP"/>
    <s v="DE HA - FONDO 2-ADMINI"/>
    <d v="2019-08-21T00:00:00"/>
    <n v="2185.37"/>
    <n v="201908"/>
    <n v="3109604"/>
    <n v="2185.37"/>
    <x v="0"/>
    <x v="1"/>
    <x v="0"/>
    <x v="0"/>
    <x v="0"/>
  </r>
  <r>
    <x v="1"/>
    <s v="01-044-460-0006-21"/>
    <s v="SCOTIA"/>
    <s v="DEPOSITO EN EFECTIVO"/>
    <d v="2019-08-21T00:00:00"/>
    <n v="1161.27"/>
    <n v="201908"/>
    <n v="3109767"/>
    <n v="3913.4799000000003"/>
    <x v="0"/>
    <x v="1"/>
    <x v="0"/>
    <x v="0"/>
    <x v="1"/>
  </r>
  <r>
    <x v="0"/>
    <s v="0661-63-0200043647"/>
    <s v="BBVA"/>
    <s v="*CORNEJO BARDALES HENRY MANUEL"/>
    <d v="2019-08-20T00:00:00"/>
    <n v="60"/>
    <n v="201908"/>
    <n v="3108661"/>
    <n v="60"/>
    <x v="0"/>
    <x v="1"/>
    <x v="0"/>
    <x v="0"/>
    <x v="0"/>
  </r>
  <r>
    <x v="0"/>
    <s v="193-1312975-0-72"/>
    <s v="BCP"/>
    <s v="000LOTE 4D PROFUTURO A"/>
    <d v="2019-08-20T00:00:00"/>
    <n v="1455.04"/>
    <n v="201908"/>
    <n v="3108940"/>
    <n v="1455.04"/>
    <x v="0"/>
    <x v="1"/>
    <x v="0"/>
    <x v="0"/>
    <x v="0"/>
  </r>
  <r>
    <x v="0"/>
    <s v="193-1312975-0-72"/>
    <s v="BCP"/>
    <s v="000LOTE 4D PROFUTURO A"/>
    <d v="2019-08-20T00:00:00"/>
    <n v="5701.86"/>
    <n v="201908"/>
    <n v="3108941"/>
    <n v="5701.86"/>
    <x v="0"/>
    <x v="1"/>
    <x v="0"/>
    <x v="0"/>
    <x v="0"/>
  </r>
  <r>
    <x v="0"/>
    <s v="193-1312975-0-72"/>
    <s v="BCP"/>
    <s v="000LOTE 4D PROFUTURO A"/>
    <d v="2019-08-20T00:00:00"/>
    <n v="2775.46"/>
    <n v="201908"/>
    <n v="3108942"/>
    <n v="2775.46"/>
    <x v="0"/>
    <x v="1"/>
    <x v="0"/>
    <x v="0"/>
    <x v="0"/>
  </r>
  <r>
    <x v="1"/>
    <s v="041-3000106347"/>
    <s v="IBK"/>
    <s v="HANZA DELGADO DIEGO LUFT"/>
    <d v="2019-08-20T00:00:00"/>
    <n v="3"/>
    <n v="201908"/>
    <n v="3108819"/>
    <n v="10.11"/>
    <x v="0"/>
    <x v="1"/>
    <x v="0"/>
    <x v="0"/>
    <x v="0"/>
  </r>
  <r>
    <x v="0"/>
    <s v="193-1312975-0-72"/>
    <s v="BCP"/>
    <s v="TRA O/CTA - AGENTE"/>
    <d v="2019-08-20T00:00:00"/>
    <n v="475.4"/>
    <n v="201908"/>
    <n v="3109189"/>
    <n v="475.4"/>
    <x v="0"/>
    <x v="1"/>
    <x v="0"/>
    <x v="0"/>
    <x v="1"/>
  </r>
  <r>
    <x v="1"/>
    <s v="193-1342935-1-08"/>
    <s v="BCP"/>
    <s v="TRAN.CTAS.TERC.BM"/>
    <d v="2019-08-20T00:00:00"/>
    <n v="400"/>
    <n v="201908"/>
    <n v="3109034"/>
    <n v="1348"/>
    <x v="0"/>
    <x v="1"/>
    <x v="0"/>
    <x v="0"/>
    <x v="1"/>
  </r>
  <r>
    <x v="0"/>
    <s v="193-1312975-0-72"/>
    <s v="BCP"/>
    <s v="DE TIMPACTA SAC"/>
    <d v="2019-08-19T00:00:00"/>
    <n v="718.33"/>
    <n v="201908"/>
    <n v="3108293"/>
    <n v="718.33"/>
    <x v="0"/>
    <x v="1"/>
    <x v="0"/>
    <x v="0"/>
    <x v="0"/>
  </r>
  <r>
    <x v="0"/>
    <s v="193-1312975-0-72"/>
    <s v="BCP"/>
    <s v="TRAN.CTAS.TERC.HK"/>
    <d v="2019-08-19T00:00:00"/>
    <n v="750"/>
    <n v="201908"/>
    <n v="3108427"/>
    <n v="750"/>
    <x v="0"/>
    <x v="1"/>
    <x v="0"/>
    <x v="0"/>
    <x v="1"/>
  </r>
  <r>
    <x v="0"/>
    <s v="193-1312975-0-72"/>
    <s v="BCP"/>
    <s v="TRA O/CTA - AGENTE"/>
    <d v="2019-08-17T00:00:00"/>
    <n v="929.5"/>
    <n v="201908"/>
    <n v="3107796"/>
    <n v="929.5"/>
    <x v="0"/>
    <x v="1"/>
    <x v="0"/>
    <x v="0"/>
    <x v="1"/>
  </r>
  <r>
    <x v="1"/>
    <s v="193-1342935-1-08"/>
    <s v="BCP"/>
    <s v="ENTR.EFEC. 0790208"/>
    <d v="2019-08-17T00:00:00"/>
    <n v="250"/>
    <n v="201908"/>
    <n v="3107712"/>
    <n v="842.5"/>
    <x v="0"/>
    <x v="1"/>
    <x v="0"/>
    <x v="0"/>
    <x v="1"/>
  </r>
  <r>
    <x v="1"/>
    <s v="142-75-0200064790"/>
    <s v="BBVA"/>
    <s v="*DONAYRE JAUREGUI CLAUDIA SOLEDAD"/>
    <d v="2019-08-16T00:00:00"/>
    <n v="16.489999999999998"/>
    <n v="201908"/>
    <n v="3107354"/>
    <n v="55.571299999999994"/>
    <x v="0"/>
    <x v="1"/>
    <x v="0"/>
    <x v="0"/>
    <x v="0"/>
  </r>
  <r>
    <x v="0"/>
    <s v="193-1312975-0-72"/>
    <s v="BCP"/>
    <s v="TRAN.CTAS.TERC.BM"/>
    <d v="2019-08-15T00:00:00"/>
    <n v="276"/>
    <n v="201908"/>
    <n v="3106757"/>
    <n v="276"/>
    <x v="0"/>
    <x v="1"/>
    <x v="0"/>
    <x v="0"/>
    <x v="1"/>
  </r>
  <r>
    <x v="0"/>
    <s v="193-1312975-0-72"/>
    <s v="BCP"/>
    <s v="TRAN.CTAS.TERC.HK"/>
    <d v="2019-08-15T00:00:00"/>
    <n v="3000"/>
    <n v="201908"/>
    <n v="3106669"/>
    <n v="3000"/>
    <x v="0"/>
    <x v="1"/>
    <x v="0"/>
    <x v="0"/>
    <x v="1"/>
  </r>
  <r>
    <x v="0"/>
    <s v="193-1312975-0-72"/>
    <s v="BCP"/>
    <s v="DE HA - FONDO 2-ADMINI"/>
    <d v="2019-08-14T00:00:00"/>
    <n v="4495.83"/>
    <n v="201908"/>
    <n v="3106192"/>
    <n v="4495.83"/>
    <x v="0"/>
    <x v="1"/>
    <x v="0"/>
    <x v="0"/>
    <x v="0"/>
  </r>
  <r>
    <x v="0"/>
    <s v="193-1312975-0-72"/>
    <s v="BCP"/>
    <s v="TRA O/CTA - AGENTE"/>
    <d v="2019-08-14T00:00:00"/>
    <n v="454.4"/>
    <n v="201908"/>
    <n v="3106295"/>
    <n v="454.4"/>
    <x v="0"/>
    <x v="1"/>
    <x v="0"/>
    <x v="0"/>
    <x v="1"/>
  </r>
  <r>
    <x v="1"/>
    <s v="142-75-0200064790"/>
    <s v="BBVA"/>
    <s v="INTERESES COOPERATIVA"/>
    <d v="2019-08-13T00:00:00"/>
    <n v="83200.539999999994"/>
    <n v="201908"/>
    <n v="3111995"/>
    <n v="280385.8198"/>
    <x v="0"/>
    <x v="1"/>
    <x v="0"/>
    <x v="0"/>
    <x v="1"/>
  </r>
  <r>
    <x v="0"/>
    <s v="041-3000106330"/>
    <s v="IBK"/>
    <s v="CARDENAS MERCADO CLARA DOLORES"/>
    <d v="2019-08-12T00:00:00"/>
    <n v="3000"/>
    <n v="201908"/>
    <n v="3104783"/>
    <n v="3000"/>
    <x v="0"/>
    <x v="1"/>
    <x v="0"/>
    <x v="0"/>
    <x v="0"/>
  </r>
  <r>
    <x v="0"/>
    <s v="193-1312975-0-72"/>
    <s v="BCP"/>
    <s v="TRAN.CTAS.TERC.BM"/>
    <d v="2019-08-12T00:00:00"/>
    <n v="800"/>
    <n v="201908"/>
    <n v="3105300"/>
    <n v="800"/>
    <x v="0"/>
    <x v="1"/>
    <x v="0"/>
    <x v="0"/>
    <x v="1"/>
  </r>
  <r>
    <x v="0"/>
    <s v="193-1312975-0-72"/>
    <s v="BCP"/>
    <s v="TRA O/CTA - AGENTE"/>
    <d v="2019-08-12T00:00:00"/>
    <n v="400"/>
    <n v="201908"/>
    <n v="3105306"/>
    <n v="400"/>
    <x v="0"/>
    <x v="1"/>
    <x v="0"/>
    <x v="0"/>
    <x v="1"/>
  </r>
  <r>
    <x v="0"/>
    <s v="193-1312975-0-72"/>
    <s v="BCP"/>
    <s v="TRA O/CTA - AGENTE"/>
    <d v="2019-08-12T00:00:00"/>
    <n v="208"/>
    <n v="201908"/>
    <n v="3105314"/>
    <n v="208"/>
    <x v="0"/>
    <x v="1"/>
    <x v="0"/>
    <x v="0"/>
    <x v="1"/>
  </r>
  <r>
    <x v="1"/>
    <s v="193-1342935-1-08"/>
    <s v="BCP"/>
    <s v="TRAN.CTAS.TERC.BM"/>
    <d v="2019-08-10T00:00:00"/>
    <n v="41"/>
    <n v="201908"/>
    <n v="3104428"/>
    <n v="138.17000000000002"/>
    <x v="0"/>
    <x v="1"/>
    <x v="0"/>
    <x v="0"/>
    <x v="1"/>
  </r>
  <r>
    <x v="1"/>
    <s v="100-0006236"/>
    <s v="BANBIF"/>
    <s v="R/T-R164008 NAME:KAGOSHIMA INT"/>
    <d v="2019-08-09T00:00:00"/>
    <n v="954.79"/>
    <n v="201908"/>
    <n v="3104314"/>
    <n v="3217.6423"/>
    <x v="0"/>
    <x v="1"/>
    <x v="0"/>
    <x v="0"/>
    <x v="0"/>
  </r>
  <r>
    <x v="0"/>
    <s v="193-1312975-0-72"/>
    <s v="BCP"/>
    <s v="TRAN.CTAS.TERC.BM"/>
    <d v="2019-08-09T00:00:00"/>
    <n v="500"/>
    <n v="201908"/>
    <n v="3103869"/>
    <n v="500"/>
    <x v="0"/>
    <x v="1"/>
    <x v="0"/>
    <x v="0"/>
    <x v="1"/>
  </r>
  <r>
    <x v="0"/>
    <s v="193-1312975-0-72"/>
    <s v="BCP"/>
    <s v="TRA O/CTA - AGENTE"/>
    <d v="2019-08-09T00:00:00"/>
    <n v="1000"/>
    <n v="201908"/>
    <n v="3104364"/>
    <n v="1000"/>
    <x v="0"/>
    <x v="1"/>
    <x v="0"/>
    <x v="0"/>
    <x v="1"/>
  </r>
  <r>
    <x v="0"/>
    <s v="193-1312975-0-72"/>
    <s v="BCP"/>
    <s v="TRA O/CTA - AGENTE"/>
    <d v="2019-08-09T00:00:00"/>
    <n v="150"/>
    <n v="201908"/>
    <n v="3104381"/>
    <n v="150"/>
    <x v="0"/>
    <x v="1"/>
    <x v="0"/>
    <x v="0"/>
    <x v="1"/>
  </r>
  <r>
    <x v="0"/>
    <s v="193-1312975-0-72"/>
    <s v="BCP"/>
    <s v="TRA O/CTA - AGENTE"/>
    <d v="2019-08-09T00:00:00"/>
    <n v="10.9"/>
    <n v="201908"/>
    <n v="3104389"/>
    <n v="10.9"/>
    <x v="0"/>
    <x v="1"/>
    <x v="0"/>
    <x v="0"/>
    <x v="1"/>
  </r>
  <r>
    <x v="0"/>
    <s v="193-1312975-0-72"/>
    <s v="BCP"/>
    <s v="TRAN.CTAS.TERC.HK"/>
    <d v="2019-08-09T00:00:00"/>
    <n v="1000"/>
    <n v="201908"/>
    <n v="3104287"/>
    <n v="1000"/>
    <x v="0"/>
    <x v="1"/>
    <x v="0"/>
    <x v="0"/>
    <x v="1"/>
  </r>
  <r>
    <x v="0"/>
    <s v="193-1312975-0-72"/>
    <s v="BCP"/>
    <s v="TRAN.CTAS.TERC.BM"/>
    <d v="2019-08-08T00:00:00"/>
    <n v="1600"/>
    <n v="201908"/>
    <n v="3103800"/>
    <n v="1600"/>
    <x v="0"/>
    <x v="1"/>
    <x v="0"/>
    <x v="0"/>
    <x v="1"/>
  </r>
  <r>
    <x v="0"/>
    <s v="193-1312975-0-72"/>
    <s v="BCP"/>
    <s v="TRAN.CTAS.TERC.BM"/>
    <d v="2019-08-08T00:00:00"/>
    <n v="300"/>
    <n v="201908"/>
    <n v="3103479"/>
    <n v="300"/>
    <x v="0"/>
    <x v="1"/>
    <x v="0"/>
    <x v="0"/>
    <x v="1"/>
  </r>
  <r>
    <x v="0"/>
    <s v="044-460-0009-24"/>
    <s v="SCOTIA"/>
    <s v="TUESTA ANAYA, RINA"/>
    <d v="2019-08-07T00:00:00"/>
    <n v="800"/>
    <n v="201908"/>
    <n v="3103368"/>
    <n v="800"/>
    <x v="0"/>
    <x v="1"/>
    <x v="0"/>
    <x v="0"/>
    <x v="0"/>
  </r>
  <r>
    <x v="0"/>
    <s v="0661-63-0200043647"/>
    <s v="BBVA"/>
    <s v="*MAITA QUESADA DENISSE PATRICIA"/>
    <d v="2019-08-07T00:00:00"/>
    <n v="700"/>
    <n v="201908"/>
    <n v="3103358"/>
    <n v="700"/>
    <x v="0"/>
    <x v="1"/>
    <x v="0"/>
    <x v="0"/>
    <x v="0"/>
  </r>
  <r>
    <x v="0"/>
    <s v="0661-63-0200043647"/>
    <s v="BBVA"/>
    <s v="INGRESO EN EFECTIVO AEP SUPERMECADO"/>
    <d v="2019-08-07T00:00:00"/>
    <n v="800"/>
    <n v="201908"/>
    <n v="3103225"/>
    <n v="800"/>
    <x v="0"/>
    <x v="1"/>
    <x v="0"/>
    <x v="0"/>
    <x v="1"/>
  </r>
  <r>
    <x v="0"/>
    <s v="0661-63-0200043647"/>
    <s v="BBVA"/>
    <s v="INGRESO EN EFECTIVO G EFECTIVO REDE"/>
    <d v="2019-08-07T00:00:00"/>
    <n v="80"/>
    <n v="201908"/>
    <n v="3102970"/>
    <n v="80"/>
    <x v="0"/>
    <x v="1"/>
    <x v="0"/>
    <x v="0"/>
    <x v="1"/>
  </r>
  <r>
    <x v="0"/>
    <s v="193-1312975-0-72"/>
    <s v="BCP"/>
    <s v="TRAN.CTAS.TERC.BM"/>
    <d v="2019-08-07T00:00:00"/>
    <n v="800"/>
    <n v="201908"/>
    <n v="3102989"/>
    <n v="800"/>
    <x v="0"/>
    <x v="1"/>
    <x v="0"/>
    <x v="0"/>
    <x v="1"/>
  </r>
  <r>
    <x v="0"/>
    <s v="193-1312975-0-72"/>
    <s v="BCP"/>
    <s v="ENTR.EFEC. 0701453"/>
    <d v="2019-08-07T00:00:00"/>
    <n v="800"/>
    <n v="201908"/>
    <n v="3103299"/>
    <n v="800"/>
    <x v="0"/>
    <x v="1"/>
    <x v="0"/>
    <x v="0"/>
    <x v="1"/>
  </r>
  <r>
    <x v="0"/>
    <s v="193-1312975-0-72"/>
    <s v="BCP"/>
    <s v="TRAN.CTAS.TERC.BM"/>
    <d v="2019-08-07T00:00:00"/>
    <n v="900"/>
    <n v="201908"/>
    <n v="3102807"/>
    <n v="900"/>
    <x v="0"/>
    <x v="1"/>
    <x v="0"/>
    <x v="0"/>
    <x v="1"/>
  </r>
  <r>
    <x v="0"/>
    <s v="0661-63-0200043647"/>
    <s v="BBVA"/>
    <s v="*COLLANTES VASQUEZ CARLA VIVIANA"/>
    <d v="2019-08-06T00:00:00"/>
    <n v="800"/>
    <n v="201908"/>
    <n v="3102619"/>
    <n v="800"/>
    <x v="0"/>
    <x v="1"/>
    <x v="0"/>
    <x v="0"/>
    <x v="0"/>
  </r>
  <r>
    <x v="0"/>
    <s v="193-1312975-0-72"/>
    <s v="BCP"/>
    <s v="TRAN.CTAS.TERC.HK"/>
    <d v="2019-08-06T00:00:00"/>
    <n v="3360"/>
    <n v="201908"/>
    <n v="3102695"/>
    <n v="3360"/>
    <x v="0"/>
    <x v="1"/>
    <x v="0"/>
    <x v="0"/>
    <x v="1"/>
  </r>
  <r>
    <x v="0"/>
    <s v="193-1312975-0-72"/>
    <s v="BCP"/>
    <s v="TRA O/CTA - AGENTE"/>
    <d v="2019-08-06T00:00:00"/>
    <n v="40.4"/>
    <n v="201908"/>
    <n v="3102754"/>
    <n v="40.4"/>
    <x v="0"/>
    <x v="1"/>
    <x v="0"/>
    <x v="0"/>
    <x v="1"/>
  </r>
  <r>
    <x v="0"/>
    <s v="193-1312975-0-72"/>
    <s v="BCP"/>
    <s v="ENTR.EFEC. 0817902"/>
    <d v="2019-08-06T00:00:00"/>
    <n v="800"/>
    <n v="201908"/>
    <n v="3102575"/>
    <n v="800"/>
    <x v="0"/>
    <x v="1"/>
    <x v="0"/>
    <x v="0"/>
    <x v="1"/>
  </r>
  <r>
    <x v="0"/>
    <s v="044-460-0009-24"/>
    <s v="SCOTIA"/>
    <s v="RAMOS PACHECO, JORGE ANTONIO"/>
    <d v="2019-08-05T00:00:00"/>
    <n v="800"/>
    <n v="201908"/>
    <n v="3101246"/>
    <n v="800"/>
    <x v="0"/>
    <x v="1"/>
    <x v="0"/>
    <x v="0"/>
    <x v="0"/>
  </r>
  <r>
    <x v="0"/>
    <s v="193-1312975-0-72"/>
    <s v="BCP"/>
    <s v="DE TIMPACTA SAC"/>
    <d v="2019-08-05T00:00:00"/>
    <n v="718.33"/>
    <n v="201908"/>
    <n v="3101491"/>
    <n v="718.33"/>
    <x v="0"/>
    <x v="1"/>
    <x v="0"/>
    <x v="0"/>
    <x v="0"/>
  </r>
  <r>
    <x v="0"/>
    <s v="193-1312975-0-72"/>
    <s v="BCP"/>
    <s v="TRA O/CTA - AGENTE"/>
    <d v="2019-08-05T00:00:00"/>
    <n v="923.8"/>
    <n v="201908"/>
    <n v="3101940"/>
    <n v="923.8"/>
    <x v="0"/>
    <x v="1"/>
    <x v="0"/>
    <x v="0"/>
    <x v="1"/>
  </r>
  <r>
    <x v="0"/>
    <s v="193-1312975-0-72"/>
    <s v="BCP"/>
    <s v="TRA O/CTA - AGENTE"/>
    <d v="2019-08-05T00:00:00"/>
    <n v="484"/>
    <n v="201908"/>
    <n v="3101968"/>
    <n v="484"/>
    <x v="0"/>
    <x v="1"/>
    <x v="0"/>
    <x v="0"/>
    <x v="1"/>
  </r>
  <r>
    <x v="0"/>
    <s v="193-1312975-0-72"/>
    <s v="BCP"/>
    <s v="TRA O/CTA - AGENTE"/>
    <d v="2019-08-05T00:00:00"/>
    <n v="60.4"/>
    <n v="201908"/>
    <n v="3101596"/>
    <n v="60.4"/>
    <x v="0"/>
    <x v="1"/>
    <x v="0"/>
    <x v="0"/>
    <x v="1"/>
  </r>
  <r>
    <x v="0"/>
    <s v="193-1312975-0-72"/>
    <s v="BCP"/>
    <s v="TRAN.CTAS.TERC.BM"/>
    <d v="2019-08-05T00:00:00"/>
    <n v="150"/>
    <n v="201908"/>
    <n v="3101598"/>
    <n v="150"/>
    <x v="0"/>
    <x v="1"/>
    <x v="0"/>
    <x v="0"/>
    <x v="1"/>
  </r>
  <r>
    <x v="1"/>
    <s v="142-75-0200064790"/>
    <s v="BBVA"/>
    <s v="INGRESO EN EFECTIVO OF. EL PINO"/>
    <d v="2019-08-05T00:00:00"/>
    <n v="659.18"/>
    <n v="201908"/>
    <n v="3101239"/>
    <n v="2221.4366"/>
    <x v="0"/>
    <x v="1"/>
    <x v="0"/>
    <x v="0"/>
    <x v="1"/>
  </r>
  <r>
    <x v="1"/>
    <s v="193-1342935-1-08"/>
    <s v="BCP"/>
    <s v="ENTR.EFEC. 0814582"/>
    <d v="2019-08-05T00:00:00"/>
    <n v="75"/>
    <n v="201908"/>
    <n v="3101731"/>
    <n v="252.75"/>
    <x v="0"/>
    <x v="1"/>
    <x v="0"/>
    <x v="0"/>
    <x v="1"/>
  </r>
  <r>
    <x v="0"/>
    <s v="193-1312975-0-72"/>
    <s v="BCP"/>
    <s v="ENTR.EFEC. 0734617"/>
    <d v="2019-08-03T00:00:00"/>
    <n v="4810.8"/>
    <n v="201908"/>
    <n v="3100886"/>
    <n v="4810.8"/>
    <x v="0"/>
    <x v="1"/>
    <x v="0"/>
    <x v="0"/>
    <x v="1"/>
  </r>
  <r>
    <x v="0"/>
    <s v="193-1312975-0-72"/>
    <s v="BCP"/>
    <s v="DE DLK S.A.C."/>
    <d v="2019-08-02T00:00:00"/>
    <n v="500"/>
    <n v="201908"/>
    <n v="3100498"/>
    <n v="500"/>
    <x v="0"/>
    <x v="1"/>
    <x v="0"/>
    <x v="0"/>
    <x v="0"/>
  </r>
  <r>
    <x v="0"/>
    <s v="193-1312975-0-72"/>
    <s v="BCP"/>
    <s v="ENTR.EFEC. 0465361"/>
    <d v="2019-08-02T00:00:00"/>
    <n v="1800"/>
    <n v="201908"/>
    <n v="3100671"/>
    <n v="1800"/>
    <x v="0"/>
    <x v="1"/>
    <x v="0"/>
    <x v="0"/>
    <x v="1"/>
  </r>
  <r>
    <x v="0"/>
    <s v="193-1312975-0-72"/>
    <s v="BCP"/>
    <s v="TRAN.CTAS.TERC.BM"/>
    <d v="2019-08-02T00:00:00"/>
    <n v="324.62"/>
    <n v="201908"/>
    <n v="3100357"/>
    <n v="324.62"/>
    <x v="0"/>
    <x v="1"/>
    <x v="0"/>
    <x v="0"/>
    <x v="1"/>
  </r>
  <r>
    <x v="0"/>
    <s v="193-1312975-0-72"/>
    <s v="BCP"/>
    <s v="TRAN.CTAS.TERC.HK"/>
    <d v="2019-08-01T00:00:00"/>
    <n v="1667"/>
    <n v="201908"/>
    <n v="3099442"/>
    <n v="1667"/>
    <x v="0"/>
    <x v="1"/>
    <x v="0"/>
    <x v="0"/>
    <x v="1"/>
  </r>
  <r>
    <x v="0"/>
    <s v="041-3000106330"/>
    <s v="IBK"/>
    <s v="MALCA RODRIGUEZ JORGE ALEJANDR"/>
    <d v="2019-07-31T00:00:00"/>
    <n v="700"/>
    <n v="201907"/>
    <n v="3099010"/>
    <n v="700"/>
    <x v="0"/>
    <x v="2"/>
    <x v="0"/>
    <x v="0"/>
    <x v="0"/>
  </r>
  <r>
    <x v="0"/>
    <s v="193-1312975-0-72"/>
    <s v="BCP"/>
    <s v="TRA O/CTA - AGENTE"/>
    <d v="2019-07-31T00:00:00"/>
    <n v="560"/>
    <n v="201907"/>
    <n v="3099247"/>
    <n v="560"/>
    <x v="0"/>
    <x v="2"/>
    <x v="0"/>
    <x v="0"/>
    <x v="1"/>
  </r>
  <r>
    <x v="0"/>
    <s v="193-1312975-0-72"/>
    <s v="BCP"/>
    <s v="TRA O/CTA - AGENTE"/>
    <d v="2019-07-30T00:00:00"/>
    <n v="500"/>
    <n v="201907"/>
    <n v="3098263"/>
    <n v="500"/>
    <x v="0"/>
    <x v="2"/>
    <x v="0"/>
    <x v="0"/>
    <x v="1"/>
  </r>
  <r>
    <x v="0"/>
    <s v="193-1312975-0-72"/>
    <s v="BCP"/>
    <s v="TRA O/CTA - AGENTE"/>
    <d v="2019-07-30T00:00:00"/>
    <n v="300"/>
    <n v="201907"/>
    <n v="3098269"/>
    <n v="300"/>
    <x v="0"/>
    <x v="2"/>
    <x v="0"/>
    <x v="0"/>
    <x v="1"/>
  </r>
  <r>
    <x v="0"/>
    <s v="193-1312975-0-72"/>
    <s v="BCP"/>
    <s v="TRA O/CTA - AGENTE"/>
    <d v="2019-07-30T00:00:00"/>
    <n v="223.6"/>
    <n v="201907"/>
    <n v="3098273"/>
    <n v="223.6"/>
    <x v="0"/>
    <x v="2"/>
    <x v="0"/>
    <x v="0"/>
    <x v="1"/>
  </r>
  <r>
    <x v="0"/>
    <s v="193-1312975-0-72"/>
    <s v="BCP"/>
    <s v="TRAN.CTAS.TERC.BM"/>
    <d v="2019-07-30T00:00:00"/>
    <n v="5000"/>
    <n v="201907"/>
    <n v="3097905"/>
    <n v="5000"/>
    <x v="0"/>
    <x v="2"/>
    <x v="0"/>
    <x v="0"/>
    <x v="1"/>
  </r>
  <r>
    <x v="0"/>
    <s v="193-1312975-0-72"/>
    <s v="BCP"/>
    <s v="ENTR.EFEC. 0287802"/>
    <d v="2019-07-30T00:00:00"/>
    <n v="6000"/>
    <n v="201907"/>
    <n v="3098116"/>
    <n v="6000"/>
    <x v="0"/>
    <x v="2"/>
    <x v="0"/>
    <x v="0"/>
    <x v="1"/>
  </r>
  <r>
    <x v="0"/>
    <s v="193-1312975-0-72"/>
    <s v="BCP"/>
    <s v="TRAN.CTAS.TERC.BM"/>
    <d v="2019-07-27T00:00:00"/>
    <n v="900"/>
    <n v="201907"/>
    <n v="3097418"/>
    <n v="900"/>
    <x v="0"/>
    <x v="2"/>
    <x v="0"/>
    <x v="0"/>
    <x v="1"/>
  </r>
  <r>
    <x v="0"/>
    <s v="193-1312975-0-72"/>
    <s v="BCP"/>
    <s v="ENTR.EFEC. 0268400"/>
    <d v="2019-07-26T00:00:00"/>
    <n v="2300"/>
    <n v="201907"/>
    <n v="3097456"/>
    <n v="2300"/>
    <x v="0"/>
    <x v="2"/>
    <x v="0"/>
    <x v="0"/>
    <x v="1"/>
  </r>
  <r>
    <x v="1"/>
    <s v="193-1342935-1-08"/>
    <s v="BCP"/>
    <s v="TRAN.CTAS.TERC.HK"/>
    <d v="2019-07-26T00:00:00"/>
    <n v="52.61"/>
    <n v="201907"/>
    <n v="3097524"/>
    <n v="177.29570000000001"/>
    <x v="0"/>
    <x v="2"/>
    <x v="0"/>
    <x v="0"/>
    <x v="1"/>
  </r>
  <r>
    <x v="0"/>
    <s v="0661-63-0200043647"/>
    <s v="BBVA"/>
    <s v="LUIS ALBERTO NAKANDAKARI TABA"/>
    <d v="2019-07-25T00:00:00"/>
    <n v="10000"/>
    <n v="201907"/>
    <n v="3096993"/>
    <n v="10000"/>
    <x v="0"/>
    <x v="2"/>
    <x v="0"/>
    <x v="0"/>
    <x v="0"/>
  </r>
  <r>
    <x v="1"/>
    <s v="01-044-460-0006-21"/>
    <s v="SCOTIA"/>
    <s v="TAVERA NEGRON, JAIME"/>
    <d v="2019-07-25T00:00:00"/>
    <n v="2342"/>
    <n v="201907"/>
    <n v="3096607"/>
    <n v="7892.54"/>
    <x v="0"/>
    <x v="2"/>
    <x v="0"/>
    <x v="0"/>
    <x v="0"/>
  </r>
  <r>
    <x v="0"/>
    <s v="193-1312975-0-72"/>
    <s v="BCP"/>
    <s v="TRA O/CTA - AGENTE"/>
    <d v="2019-07-25T00:00:00"/>
    <n v="10"/>
    <n v="201907"/>
    <n v="3096364"/>
    <n v="10"/>
    <x v="0"/>
    <x v="2"/>
    <x v="0"/>
    <x v="0"/>
    <x v="1"/>
  </r>
  <r>
    <x v="0"/>
    <s v="193-1312975-0-72"/>
    <s v="BCP"/>
    <s v="TRAN.CTAS.TERC.BM"/>
    <d v="2019-07-25T00:00:00"/>
    <n v="90"/>
    <n v="201907"/>
    <n v="3096230"/>
    <n v="90"/>
    <x v="0"/>
    <x v="2"/>
    <x v="0"/>
    <x v="0"/>
    <x v="1"/>
  </r>
  <r>
    <x v="1"/>
    <s v="193-1342935-1-08"/>
    <s v="BCP"/>
    <s v="ENTREGA C/CHEQUES FUE"/>
    <d v="2019-07-25T00:00:00"/>
    <n v="2856.5"/>
    <n v="201907"/>
    <n v="3096073"/>
    <n v="9626.4050000000007"/>
    <x v="0"/>
    <x v="2"/>
    <x v="0"/>
    <x v="0"/>
    <x v="1"/>
  </r>
  <r>
    <x v="1"/>
    <s v="193-1342935-1-08"/>
    <s v="BCP"/>
    <s v="TRAN.CTAS.TERC.BM"/>
    <d v="2019-07-25T00:00:00"/>
    <n v="250"/>
    <n v="201907"/>
    <n v="3096240"/>
    <n v="842.5"/>
    <x v="0"/>
    <x v="2"/>
    <x v="0"/>
    <x v="0"/>
    <x v="1"/>
  </r>
  <r>
    <x v="0"/>
    <s v="0661-63-0200043647"/>
    <s v="BBVA"/>
    <s v="INGRESO EN EFECTIVO LOS OLIVOS"/>
    <d v="2019-07-24T00:00:00"/>
    <n v="650"/>
    <n v="201907"/>
    <n v="3095735"/>
    <n v="650"/>
    <x v="0"/>
    <x v="2"/>
    <x v="0"/>
    <x v="0"/>
    <x v="1"/>
  </r>
  <r>
    <x v="0"/>
    <s v="193-1312975-0-72"/>
    <s v="BCP"/>
    <s v="ENTR.EFEC. 0189065"/>
    <d v="2019-07-24T00:00:00"/>
    <n v="120"/>
    <n v="201907"/>
    <n v="3095510"/>
    <n v="120"/>
    <x v="0"/>
    <x v="2"/>
    <x v="0"/>
    <x v="0"/>
    <x v="1"/>
  </r>
  <r>
    <x v="0"/>
    <s v="193-1312975-0-72"/>
    <s v="BCP"/>
    <s v="ENTR.EFEC. 0614483"/>
    <d v="2019-07-24T00:00:00"/>
    <n v="1000"/>
    <n v="201907"/>
    <n v="3095779"/>
    <n v="1000"/>
    <x v="0"/>
    <x v="2"/>
    <x v="0"/>
    <x v="0"/>
    <x v="1"/>
  </r>
  <r>
    <x v="0"/>
    <s v="193-1312975-0-72"/>
    <s v="BCP"/>
    <s v="TRA O/CTA - AGENTE"/>
    <d v="2019-07-23T00:00:00"/>
    <n v="64"/>
    <n v="201907"/>
    <n v="3094905"/>
    <n v="64"/>
    <x v="0"/>
    <x v="2"/>
    <x v="0"/>
    <x v="0"/>
    <x v="1"/>
  </r>
  <r>
    <x v="0"/>
    <s v="193-1312975-0-72"/>
    <s v="BCP"/>
    <s v="TRAN.CTAS.TERC.BM"/>
    <d v="2019-07-23T00:00:00"/>
    <n v="240"/>
    <n v="201907"/>
    <n v="3094906"/>
    <n v="240"/>
    <x v="0"/>
    <x v="2"/>
    <x v="0"/>
    <x v="0"/>
    <x v="1"/>
  </r>
  <r>
    <x v="0"/>
    <s v="193-1312975-0-72"/>
    <s v="BCP"/>
    <s v="TRAN.CTAS.TERC.HK"/>
    <d v="2019-07-20T00:00:00"/>
    <n v="1000"/>
    <n v="201907"/>
    <n v="3094037"/>
    <n v="1000"/>
    <x v="0"/>
    <x v="2"/>
    <x v="0"/>
    <x v="0"/>
    <x v="1"/>
  </r>
  <r>
    <x v="0"/>
    <s v="193-1312975-0-72"/>
    <s v="BCP"/>
    <s v="TRA O/CTA - AGENTE"/>
    <d v="2019-07-20T00:00:00"/>
    <n v="30"/>
    <n v="201907"/>
    <n v="3094058"/>
    <n v="30"/>
    <x v="0"/>
    <x v="2"/>
    <x v="0"/>
    <x v="0"/>
    <x v="1"/>
  </r>
  <r>
    <x v="0"/>
    <s v="193-1312975-0-72"/>
    <s v="BCP"/>
    <s v="DE MASTER TIRES SOCIED"/>
    <d v="2019-07-19T00:00:00"/>
    <n v="10"/>
    <n v="201907"/>
    <n v="3093187"/>
    <n v="10"/>
    <x v="0"/>
    <x v="2"/>
    <x v="0"/>
    <x v="0"/>
    <x v="0"/>
  </r>
  <r>
    <x v="0"/>
    <s v="193-1312975-0-72"/>
    <s v="BCP"/>
    <s v="TRAN.CTAS.TERC.BM"/>
    <d v="2019-07-19T00:00:00"/>
    <n v="3800"/>
    <n v="201907"/>
    <n v="3093188"/>
    <n v="3800"/>
    <x v="0"/>
    <x v="2"/>
    <x v="0"/>
    <x v="0"/>
    <x v="1"/>
  </r>
  <r>
    <x v="0"/>
    <s v="193-1312975-0-72"/>
    <s v="BCP"/>
    <s v="TRAN.CTAS.TERC.BM"/>
    <d v="2019-07-19T00:00:00"/>
    <n v="3000"/>
    <n v="201907"/>
    <n v="3093551"/>
    <n v="3000"/>
    <x v="0"/>
    <x v="2"/>
    <x v="0"/>
    <x v="0"/>
    <x v="1"/>
  </r>
  <r>
    <x v="1"/>
    <s v="193-1342935-1-08"/>
    <s v="BCP"/>
    <s v="TRAN.CTAS.TERC.BM"/>
    <d v="2019-07-19T00:00:00"/>
    <n v="238.45"/>
    <n v="201907"/>
    <n v="3093343"/>
    <n v="803.57650000000001"/>
    <x v="0"/>
    <x v="2"/>
    <x v="0"/>
    <x v="0"/>
    <x v="1"/>
  </r>
  <r>
    <x v="0"/>
    <s v="0661-63-0200043647"/>
    <s v="BBVA"/>
    <s v="*COLLANTES VASQUEZ CARLA VIVIANA"/>
    <d v="2019-07-18T00:00:00"/>
    <n v="800"/>
    <n v="201907"/>
    <n v="3092809"/>
    <n v="800"/>
    <x v="0"/>
    <x v="2"/>
    <x v="0"/>
    <x v="0"/>
    <x v="0"/>
  </r>
  <r>
    <x v="1"/>
    <s v="193-1342935-1-08"/>
    <s v="BCP"/>
    <s v="DE RSM PERU SAC"/>
    <d v="2019-07-18T00:00:00"/>
    <n v="40.200000000000003"/>
    <n v="201907"/>
    <n v="3093109"/>
    <n v="135.47400000000002"/>
    <x v="0"/>
    <x v="2"/>
    <x v="0"/>
    <x v="0"/>
    <x v="0"/>
  </r>
  <r>
    <x v="0"/>
    <s v="193-1312975-0-72"/>
    <s v="BCP"/>
    <s v="ENTR.EFEC. 0409872"/>
    <d v="2019-07-18T00:00:00"/>
    <n v="570.9"/>
    <n v="201907"/>
    <n v="3092957"/>
    <n v="570.9"/>
    <x v="0"/>
    <x v="2"/>
    <x v="0"/>
    <x v="0"/>
    <x v="1"/>
  </r>
  <r>
    <x v="0"/>
    <s v="193-1312975-0-72"/>
    <s v="BCP"/>
    <s v="TRAN.CTAS.TERC.BM"/>
    <d v="2019-07-18T00:00:00"/>
    <n v="50"/>
    <n v="201907"/>
    <n v="3092880"/>
    <n v="50"/>
    <x v="0"/>
    <x v="2"/>
    <x v="0"/>
    <x v="0"/>
    <x v="1"/>
  </r>
  <r>
    <x v="1"/>
    <s v="193-1342935-1-08"/>
    <s v="BCP"/>
    <s v="TRAN.CTAS.TERC.HK"/>
    <d v="2019-07-18T00:00:00"/>
    <n v="50"/>
    <n v="201907"/>
    <n v="3092637"/>
    <n v="168.5"/>
    <x v="0"/>
    <x v="2"/>
    <x v="0"/>
    <x v="0"/>
    <x v="1"/>
  </r>
  <r>
    <x v="0"/>
    <s v="193-1312975-0-72"/>
    <s v="BCP"/>
    <s v="TRAN.CTAS.TERC.HK"/>
    <d v="2019-07-17T00:00:00"/>
    <n v="50"/>
    <n v="201907"/>
    <n v="3091945"/>
    <n v="50"/>
    <x v="0"/>
    <x v="2"/>
    <x v="0"/>
    <x v="0"/>
    <x v="1"/>
  </r>
  <r>
    <x v="0"/>
    <s v="193-1312975-0-72"/>
    <s v="BCP"/>
    <s v="TRA O/CTA - AGENTE"/>
    <d v="2019-07-17T00:00:00"/>
    <n v="577.6"/>
    <n v="201907"/>
    <n v="3092483"/>
    <n v="577.6"/>
    <x v="0"/>
    <x v="2"/>
    <x v="0"/>
    <x v="0"/>
    <x v="1"/>
  </r>
  <r>
    <x v="1"/>
    <s v="041-3000106347"/>
    <s v="IBK"/>
    <s v="DEP.EFECTI - -"/>
    <d v="2019-07-17T00:00:00"/>
    <n v="300"/>
    <n v="201907"/>
    <n v="3092254"/>
    <n v="1011"/>
    <x v="0"/>
    <x v="2"/>
    <x v="0"/>
    <x v="0"/>
    <x v="1"/>
  </r>
  <r>
    <x v="0"/>
    <s v="193-1312975-0-72"/>
    <s v="BCP"/>
    <s v="DE COOPAC AGROFINCA LT"/>
    <d v="2019-07-16T00:00:00"/>
    <n v="120"/>
    <n v="201907"/>
    <n v="3091601"/>
    <n v="120"/>
    <x v="0"/>
    <x v="2"/>
    <x v="0"/>
    <x v="0"/>
    <x v="0"/>
  </r>
  <r>
    <x v="0"/>
    <s v="193-1312975-0-72"/>
    <s v="BCP"/>
    <s v="TRA O/CTA - AGENTE"/>
    <d v="2019-07-15T00:00:00"/>
    <n v="7"/>
    <n v="201907"/>
    <n v="3090901"/>
    <n v="7"/>
    <x v="0"/>
    <x v="2"/>
    <x v="0"/>
    <x v="0"/>
    <x v="1"/>
  </r>
  <r>
    <x v="0"/>
    <s v="193-1312975-0-72"/>
    <s v="BCP"/>
    <s v="TRAN.CTAS.TERC.HK"/>
    <d v="2019-07-15T00:00:00"/>
    <n v="792.12"/>
    <n v="201907"/>
    <n v="3090517"/>
    <n v="792.12"/>
    <x v="0"/>
    <x v="2"/>
    <x v="0"/>
    <x v="0"/>
    <x v="1"/>
  </r>
  <r>
    <x v="0"/>
    <s v="193-1312975-0-72"/>
    <s v="BCP"/>
    <s v="TRAN.CTAS.TERC.HK"/>
    <d v="2019-07-12T00:00:00"/>
    <n v="15000"/>
    <n v="201907"/>
    <n v="3089781"/>
    <n v="15000"/>
    <x v="0"/>
    <x v="2"/>
    <x v="0"/>
    <x v="0"/>
    <x v="1"/>
  </r>
  <r>
    <x v="1"/>
    <s v="193-1342935-1-08"/>
    <s v="BCP"/>
    <s v="ENTR.EFEC. 0914526"/>
    <d v="2019-07-12T00:00:00"/>
    <n v="168"/>
    <n v="201907"/>
    <n v="3089659"/>
    <n v="566.16"/>
    <x v="0"/>
    <x v="2"/>
    <x v="0"/>
    <x v="0"/>
    <x v="1"/>
  </r>
  <r>
    <x v="0"/>
    <s v="0661-63-0200043647"/>
    <s v="BBVA"/>
    <s v="R20520914898PROYECTOS DISART EIRL"/>
    <d v="2019-07-10T00:00:00"/>
    <n v="1269.3"/>
    <n v="201907"/>
    <n v="3088922"/>
    <n v="1269.3"/>
    <x v="0"/>
    <x v="2"/>
    <x v="0"/>
    <x v="0"/>
    <x v="0"/>
  </r>
  <r>
    <x v="0"/>
    <s v="193-1312975-0-72"/>
    <s v="BCP"/>
    <s v="ENTR.EFEC. 0114208"/>
    <d v="2019-07-10T00:00:00"/>
    <n v="1049.8"/>
    <n v="201907"/>
    <n v="3088442"/>
    <n v="1049.8"/>
    <x v="0"/>
    <x v="2"/>
    <x v="0"/>
    <x v="0"/>
    <x v="1"/>
  </r>
  <r>
    <x v="0"/>
    <s v="193-1312975-0-72"/>
    <s v="BCP"/>
    <s v="TRAN.CTAS.TERC.BM"/>
    <d v="2019-07-10T00:00:00"/>
    <n v="120"/>
    <n v="201907"/>
    <n v="3088533"/>
    <n v="120"/>
    <x v="0"/>
    <x v="2"/>
    <x v="0"/>
    <x v="0"/>
    <x v="1"/>
  </r>
  <r>
    <x v="0"/>
    <s v="0661-63-0200043647"/>
    <s v="BBVA"/>
    <s v="APORTES 6 MESES BANCA AUTOMATIC"/>
    <d v="2019-07-09T00:00:00"/>
    <n v="60"/>
    <n v="201907"/>
    <n v="3088191"/>
    <n v="60"/>
    <x v="0"/>
    <x v="2"/>
    <x v="0"/>
    <x v="0"/>
    <x v="1"/>
  </r>
  <r>
    <x v="0"/>
    <s v="193-1312975-0-72"/>
    <s v="BCP"/>
    <s v="TRA O/CTA - AGENTE"/>
    <d v="2019-07-09T00:00:00"/>
    <n v="773.5"/>
    <n v="201907"/>
    <n v="3088321"/>
    <n v="773.5"/>
    <x v="0"/>
    <x v="2"/>
    <x v="0"/>
    <x v="0"/>
    <x v="1"/>
  </r>
  <r>
    <x v="0"/>
    <s v="041-3000106330"/>
    <s v="IBK"/>
    <s v="DEP.EFECTI - -"/>
    <d v="2019-07-08T00:00:00"/>
    <n v="360"/>
    <n v="201907"/>
    <n v="3087348"/>
    <n v="360"/>
    <x v="0"/>
    <x v="2"/>
    <x v="0"/>
    <x v="0"/>
    <x v="1"/>
  </r>
  <r>
    <x v="0"/>
    <s v="193-1312975-0-72"/>
    <s v="BCP"/>
    <s v="TRAN.CTAS.TERC.BM"/>
    <d v="2019-07-08T00:00:00"/>
    <n v="1800"/>
    <n v="201907"/>
    <n v="3087282"/>
    <n v="1800"/>
    <x v="0"/>
    <x v="2"/>
    <x v="0"/>
    <x v="0"/>
    <x v="1"/>
  </r>
  <r>
    <x v="0"/>
    <s v="193-1312975-0-72"/>
    <s v="BCP"/>
    <s v="TRAN.CTAS.TERC.BM"/>
    <d v="2019-07-08T00:00:00"/>
    <n v="800"/>
    <n v="201907"/>
    <n v="3087725"/>
    <n v="800"/>
    <x v="0"/>
    <x v="2"/>
    <x v="0"/>
    <x v="0"/>
    <x v="1"/>
  </r>
  <r>
    <x v="0"/>
    <s v="0661-63-0200043647"/>
    <s v="BBVA"/>
    <s v="INGRESO EN EFECTIVO AEP SUPERMECADO"/>
    <d v="2019-07-07T00:00:00"/>
    <n v="800"/>
    <n v="201907"/>
    <n v="3087099"/>
    <n v="800"/>
    <x v="0"/>
    <x v="2"/>
    <x v="0"/>
    <x v="0"/>
    <x v="1"/>
  </r>
  <r>
    <x v="0"/>
    <s v="193-1312975-0-72"/>
    <s v="BCP"/>
    <s v="TRAN.CTAS.TERC.BM"/>
    <d v="2019-07-07T00:00:00"/>
    <n v="1600"/>
    <n v="201907"/>
    <n v="3087039"/>
    <n v="1600"/>
    <x v="0"/>
    <x v="2"/>
    <x v="0"/>
    <x v="0"/>
    <x v="1"/>
  </r>
  <r>
    <x v="0"/>
    <s v="0661-63-0200043647"/>
    <s v="BBVA"/>
    <s v="*MAITA QUESADA DENISSE PATRICIA"/>
    <d v="2019-07-06T00:00:00"/>
    <n v="700"/>
    <n v="201907"/>
    <n v="3087019"/>
    <n v="700"/>
    <x v="0"/>
    <x v="2"/>
    <x v="0"/>
    <x v="0"/>
    <x v="0"/>
  </r>
  <r>
    <x v="0"/>
    <s v="193-1312975-0-72"/>
    <s v="BCP"/>
    <s v="DE LA COTONNADE S.A.C"/>
    <d v="2019-07-06T00:00:00"/>
    <n v="1700"/>
    <n v="201907"/>
    <n v="3087057"/>
    <n v="1700"/>
    <x v="0"/>
    <x v="2"/>
    <x v="0"/>
    <x v="0"/>
    <x v="0"/>
  </r>
  <r>
    <x v="0"/>
    <s v="193-1312975-0-72"/>
    <s v="BCP"/>
    <s v="TRA O/CTA - AGENTE"/>
    <d v="2019-07-06T00:00:00"/>
    <n v="300"/>
    <n v="201907"/>
    <n v="3087083"/>
    <n v="300"/>
    <x v="0"/>
    <x v="2"/>
    <x v="0"/>
    <x v="0"/>
    <x v="1"/>
  </r>
  <r>
    <x v="1"/>
    <s v="193-1342935-1-08"/>
    <s v="BCP"/>
    <s v="TRAN.CTAS.TERC.BM"/>
    <d v="2019-07-06T00:00:00"/>
    <n v="300"/>
    <n v="201907"/>
    <n v="3087003"/>
    <n v="1011"/>
    <x v="0"/>
    <x v="2"/>
    <x v="0"/>
    <x v="0"/>
    <x v="1"/>
  </r>
  <r>
    <x v="0"/>
    <s v="193-1312975-0-72"/>
    <s v="BCP"/>
    <s v="TRA O/CTA - AGENTE"/>
    <d v="2019-07-05T00:00:00"/>
    <n v="800"/>
    <n v="201907"/>
    <n v="3086274"/>
    <n v="800"/>
    <x v="0"/>
    <x v="2"/>
    <x v="0"/>
    <x v="0"/>
    <x v="1"/>
  </r>
  <r>
    <x v="0"/>
    <s v="193-1312975-0-72"/>
    <s v="BCP"/>
    <s v="TRAN.CTAS.TERC.HK"/>
    <d v="2019-07-05T00:00:00"/>
    <n v="600"/>
    <n v="201907"/>
    <n v="3086606"/>
    <n v="600"/>
    <x v="0"/>
    <x v="2"/>
    <x v="0"/>
    <x v="0"/>
    <x v="1"/>
  </r>
  <r>
    <x v="1"/>
    <s v="142-75-0200064790"/>
    <s v="BBVA"/>
    <s v="INGRESO EN EFECTIVO OF. EL PINO"/>
    <d v="2019-07-04T00:00:00"/>
    <n v="637.79999999999995"/>
    <n v="201907"/>
    <n v="3085355"/>
    <n v="2149.386"/>
    <x v="0"/>
    <x v="2"/>
    <x v="0"/>
    <x v="0"/>
    <x v="1"/>
  </r>
  <r>
    <x v="0"/>
    <s v="044-460-0009-24"/>
    <s v="SCOTIA"/>
    <s v="RAMOS PACHECO, JORGE ANTONIO"/>
    <d v="2019-07-03T00:00:00"/>
    <n v="800"/>
    <n v="201907"/>
    <n v="3084761"/>
    <n v="800"/>
    <x v="0"/>
    <x v="2"/>
    <x v="0"/>
    <x v="0"/>
    <x v="0"/>
  </r>
  <r>
    <x v="1"/>
    <s v="142-75-0200064790"/>
    <s v="BBVA"/>
    <s v="LORENA GUEVARA CORREA"/>
    <d v="2019-07-03T00:00:00"/>
    <n v="300"/>
    <n v="201907"/>
    <n v="3085187"/>
    <n v="1011"/>
    <x v="0"/>
    <x v="2"/>
    <x v="0"/>
    <x v="0"/>
    <x v="0"/>
  </r>
  <r>
    <x v="0"/>
    <s v="0661-63-0200043647"/>
    <s v="BBVA"/>
    <s v="RECAUDACION BANCA AUTOMATIC"/>
    <d v="2019-07-03T00:00:00"/>
    <n v="13770.31"/>
    <n v="201907"/>
    <n v="3085001"/>
    <n v="13770.31"/>
    <x v="0"/>
    <x v="2"/>
    <x v="0"/>
    <x v="0"/>
    <x v="1"/>
  </r>
  <r>
    <x v="0"/>
    <s v="041-3000106330"/>
    <s v="IBK"/>
    <s v="DEP.EFECTI - -"/>
    <d v="2019-07-02T00:00:00"/>
    <n v="5000"/>
    <n v="201907"/>
    <n v="3084247"/>
    <n v="5000"/>
    <x v="0"/>
    <x v="2"/>
    <x v="0"/>
    <x v="0"/>
    <x v="1"/>
  </r>
  <r>
    <x v="0"/>
    <s v="193-03308674-0-93"/>
    <s v="BCP"/>
    <s v="TRAN.CTAS.TERC.BM"/>
    <d v="2019-07-01T00:00:00"/>
    <n v="217.55"/>
    <n v="201907"/>
    <n v="3083887"/>
    <n v="217.55"/>
    <x v="0"/>
    <x v="2"/>
    <x v="0"/>
    <x v="0"/>
    <x v="1"/>
  </r>
  <r>
    <x v="0"/>
    <s v="193-1312975-0-72"/>
    <s v="BCP"/>
    <s v="TRAN.CTAS.TERC.HK"/>
    <d v="2019-07-01T00:00:00"/>
    <n v="600"/>
    <n v="201907"/>
    <n v="3083254"/>
    <n v="600"/>
    <x v="0"/>
    <x v="2"/>
    <x v="0"/>
    <x v="0"/>
    <x v="1"/>
  </r>
  <r>
    <x v="1"/>
    <s v="193-1342935-1-08"/>
    <s v="BCP"/>
    <s v="TRAN.CTAS.TERC.BM"/>
    <d v="2019-06-30T00:00:00"/>
    <n v="0.3"/>
    <n v="201906"/>
    <n v="3083037"/>
    <n v="1.0109999999999999"/>
    <x v="0"/>
    <x v="3"/>
    <x v="0"/>
    <x v="0"/>
    <x v="1"/>
  </r>
  <r>
    <x v="0"/>
    <s v="041-3000106330"/>
    <s v="IBK"/>
    <s v="GOYA OSHIRO JOYSSI KAORI"/>
    <d v="2019-06-29T00:00:00"/>
    <n v="500"/>
    <n v="201906"/>
    <n v="3083169"/>
    <n v="500"/>
    <x v="0"/>
    <x v="3"/>
    <x v="0"/>
    <x v="0"/>
    <x v="0"/>
  </r>
  <r>
    <x v="0"/>
    <s v="041-3000106330"/>
    <s v="IBK"/>
    <s v="GOYA OSHIRO JOYSSI KAORI"/>
    <d v="2019-06-29T00:00:00"/>
    <n v="950"/>
    <n v="201906"/>
    <n v="3083170"/>
    <n v="950"/>
    <x v="0"/>
    <x v="3"/>
    <x v="0"/>
    <x v="0"/>
    <x v="0"/>
  </r>
  <r>
    <x v="0"/>
    <s v="193-1312975-0-72"/>
    <s v="BCP"/>
    <s v="TRAN.CTAS.TERC.HK"/>
    <d v="2019-06-29T00:00:00"/>
    <n v="120"/>
    <n v="201906"/>
    <n v="3083125"/>
    <n v="120"/>
    <x v="0"/>
    <x v="3"/>
    <x v="0"/>
    <x v="0"/>
    <x v="1"/>
  </r>
  <r>
    <x v="0"/>
    <s v="044-460-0009-24"/>
    <s v="SCOTIA"/>
    <s v="DEPOSITO EN EFECTIVO"/>
    <d v="2019-06-28T00:00:00"/>
    <n v="220"/>
    <n v="201906"/>
    <n v="3082343"/>
    <n v="220"/>
    <x v="0"/>
    <x v="3"/>
    <x v="0"/>
    <x v="0"/>
    <x v="1"/>
  </r>
  <r>
    <x v="1"/>
    <s v="193-1342935-1-08"/>
    <s v="BCP"/>
    <s v="TRAN.CTAS.TERC.BM"/>
    <d v="2019-06-27T00:00:00"/>
    <n v="148.81"/>
    <n v="201906"/>
    <n v="3081570"/>
    <n v="501.48970000000003"/>
    <x v="0"/>
    <x v="3"/>
    <x v="0"/>
    <x v="0"/>
    <x v="1"/>
  </r>
  <r>
    <x v="0"/>
    <s v="041-3000106330"/>
    <s v="IBK"/>
    <s v="GUSHIKEN MIYAGUI MARGARITA PAT"/>
    <d v="2019-06-26T00:00:00"/>
    <n v="881.27"/>
    <n v="201906"/>
    <n v="3081154"/>
    <n v="881.27"/>
    <x v="0"/>
    <x v="3"/>
    <x v="0"/>
    <x v="0"/>
    <x v="0"/>
  </r>
  <r>
    <x v="0"/>
    <s v="041-3000106330"/>
    <s v="IBK"/>
    <s v="RODRIGUEZ NELRA LUIS GUILLERMO"/>
    <d v="2019-06-25T00:00:00"/>
    <n v="1500"/>
    <n v="201906"/>
    <n v="3080657"/>
    <n v="1500"/>
    <x v="0"/>
    <x v="3"/>
    <x v="0"/>
    <x v="0"/>
    <x v="0"/>
  </r>
  <r>
    <x v="1"/>
    <s v="193-1342935-1-08"/>
    <s v="BCP"/>
    <s v="ENTREGA C/CHEQUES FUE"/>
    <d v="2019-06-25T00:00:00"/>
    <n v="2763.9"/>
    <n v="201906"/>
    <n v="3080079"/>
    <n v="9314.3430000000008"/>
    <x v="0"/>
    <x v="3"/>
    <x v="0"/>
    <x v="0"/>
    <x v="1"/>
  </r>
  <r>
    <x v="0"/>
    <s v="0661-63-0200043647"/>
    <s v="BBVA"/>
    <s v="HYG ASOCIADOS SAC BANCA AUTOMATIC"/>
    <d v="2019-06-24T00:00:00"/>
    <n v="297.5"/>
    <n v="201906"/>
    <n v="3080044"/>
    <n v="297.5"/>
    <x v="0"/>
    <x v="3"/>
    <x v="0"/>
    <x v="0"/>
    <x v="0"/>
  </r>
  <r>
    <x v="0"/>
    <s v="0661-63-0200043647"/>
    <s v="BBVA"/>
    <s v="PEDRO DIAZ GUILLEN PLAZA BOLOGNESI"/>
    <d v="2019-06-24T00:00:00"/>
    <n v="3200"/>
    <n v="201906"/>
    <n v="3079873"/>
    <n v="3200"/>
    <x v="0"/>
    <x v="3"/>
    <x v="0"/>
    <x v="0"/>
    <x v="0"/>
  </r>
  <r>
    <x v="0"/>
    <s v="0661-63-0200043647"/>
    <s v="BBVA"/>
    <s v="PAGOS VARIOS BANCA AUTOMATIC"/>
    <d v="2019-06-22T00:00:00"/>
    <n v="290"/>
    <n v="201906"/>
    <n v="3079463"/>
    <n v="290"/>
    <x v="0"/>
    <x v="3"/>
    <x v="0"/>
    <x v="0"/>
    <x v="1"/>
  </r>
  <r>
    <x v="1"/>
    <s v="041-3000106347"/>
    <s v="IBK"/>
    <s v="GOYA OSHIRO JOYSSI KAORI"/>
    <d v="2019-06-22T00:00:00"/>
    <n v="950"/>
    <n v="201906"/>
    <n v="3079499"/>
    <n v="3201.5"/>
    <x v="0"/>
    <x v="3"/>
    <x v="0"/>
    <x v="0"/>
    <x v="0"/>
  </r>
  <r>
    <x v="1"/>
    <s v="041-3000106347"/>
    <s v="IBK"/>
    <s v="GOYA OSHIRO JOYSSI KAORI"/>
    <d v="2019-06-22T00:00:00"/>
    <n v="737"/>
    <n v="201906"/>
    <n v="3079498"/>
    <n v="2483.69"/>
    <x v="0"/>
    <x v="3"/>
    <x v="0"/>
    <x v="0"/>
    <x v="0"/>
  </r>
  <r>
    <x v="1"/>
    <s v="193-1342935-1-08"/>
    <s v="BCP"/>
    <s v="ENTR.EFEC. 0425849"/>
    <d v="2019-06-20T00:00:00"/>
    <n v="1500"/>
    <n v="201906"/>
    <n v="3078224"/>
    <n v="5055"/>
    <x v="0"/>
    <x v="3"/>
    <x v="0"/>
    <x v="0"/>
    <x v="1"/>
  </r>
  <r>
    <x v="0"/>
    <s v="0661-63-0200043647"/>
    <s v="BBVA"/>
    <s v="TRANSFERENCIA A COOPERATIVA PACIFIC"/>
    <d v="2019-06-19T00:00:00"/>
    <n v="220"/>
    <n v="201906"/>
    <n v="3077255"/>
    <n v="220"/>
    <x v="0"/>
    <x v="3"/>
    <x v="0"/>
    <x v="0"/>
    <x v="1"/>
  </r>
  <r>
    <x v="1"/>
    <s v="193-1342935-1-08"/>
    <s v="BCP"/>
    <s v="TRAN.CTAS.TERC.HK"/>
    <d v="2019-06-19T00:00:00"/>
    <n v="50"/>
    <n v="201906"/>
    <n v="3077678"/>
    <n v="168.5"/>
    <x v="0"/>
    <x v="3"/>
    <x v="0"/>
    <x v="0"/>
    <x v="1"/>
  </r>
  <r>
    <x v="0"/>
    <s v="193-1312975-0-72"/>
    <s v="BCP"/>
    <s v="TRA O/CTA - AGENTE"/>
    <d v="2019-06-17T00:00:00"/>
    <n v="84.4"/>
    <n v="201906"/>
    <n v="3076438"/>
    <n v="84.4"/>
    <x v="0"/>
    <x v="3"/>
    <x v="0"/>
    <x v="0"/>
    <x v="1"/>
  </r>
  <r>
    <x v="0"/>
    <s v="193-1312975-0-72"/>
    <s v="BCP"/>
    <s v="TRAN.CTAS.TERC.BM"/>
    <d v="2019-06-17T00:00:00"/>
    <n v="800"/>
    <n v="201906"/>
    <n v="3076647"/>
    <n v="800"/>
    <x v="0"/>
    <x v="3"/>
    <x v="0"/>
    <x v="0"/>
    <x v="1"/>
  </r>
  <r>
    <x v="0"/>
    <s v="193-1312975-0-72"/>
    <s v="BCP"/>
    <s v="TRAN.CTAS.TERC.HK"/>
    <d v="2019-06-13T00:00:00"/>
    <n v="600"/>
    <n v="201906"/>
    <n v="3075042"/>
    <n v="600"/>
    <x v="0"/>
    <x v="3"/>
    <x v="0"/>
    <x v="0"/>
    <x v="1"/>
  </r>
  <r>
    <x v="1"/>
    <s v="193-1342935-1-08"/>
    <s v="BCP"/>
    <s v="TRAN.CTAS.TERC.BM"/>
    <d v="2019-06-13T00:00:00"/>
    <n v="250"/>
    <n v="201906"/>
    <n v="3075264"/>
    <n v="842.5"/>
    <x v="0"/>
    <x v="3"/>
    <x v="0"/>
    <x v="0"/>
    <x v="1"/>
  </r>
  <r>
    <x v="0"/>
    <s v="193-1312975-0-72"/>
    <s v="BCP"/>
    <s v="TRAN.CTAS.TERC.BM"/>
    <d v="2019-06-08T00:00:00"/>
    <n v="1600"/>
    <n v="201906"/>
    <n v="3073267"/>
    <n v="1600"/>
    <x v="0"/>
    <x v="3"/>
    <x v="0"/>
    <x v="0"/>
    <x v="1"/>
  </r>
  <r>
    <x v="0"/>
    <s v="193-1312975-0-72"/>
    <s v="BCP"/>
    <s v="TRAN.CTAS.TERC.BM"/>
    <d v="2019-06-08T00:00:00"/>
    <n v="800"/>
    <n v="201906"/>
    <n v="3073269"/>
    <n v="800"/>
    <x v="0"/>
    <x v="3"/>
    <x v="0"/>
    <x v="0"/>
    <x v="1"/>
  </r>
  <r>
    <x v="0"/>
    <s v="193-1312975-0-72"/>
    <s v="BCP"/>
    <s v="TRA O/CTA - AGENTE"/>
    <d v="2019-06-08T00:00:00"/>
    <n v="10"/>
    <n v="201906"/>
    <n v="3073285"/>
    <n v="10"/>
    <x v="0"/>
    <x v="3"/>
    <x v="0"/>
    <x v="0"/>
    <x v="1"/>
  </r>
  <r>
    <x v="0"/>
    <s v="0661-63-0200043647"/>
    <s v="BBVA"/>
    <s v="INGRESO EN EFECTIVO AEP SUPERMECADO"/>
    <d v="2019-06-07T00:00:00"/>
    <n v="800"/>
    <n v="201906"/>
    <n v="3073075"/>
    <n v="800"/>
    <x v="0"/>
    <x v="3"/>
    <x v="0"/>
    <x v="0"/>
    <x v="1"/>
  </r>
  <r>
    <x v="0"/>
    <s v="193-1312975-0-72"/>
    <s v="BCP"/>
    <s v="ENTR.EFEC. 0646890"/>
    <d v="2019-06-07T00:00:00"/>
    <n v="1600"/>
    <n v="201906"/>
    <n v="3072768"/>
    <n v="1600"/>
    <x v="0"/>
    <x v="3"/>
    <x v="0"/>
    <x v="0"/>
    <x v="1"/>
  </r>
  <r>
    <x v="0"/>
    <s v="193-1312975-0-72"/>
    <s v="BCP"/>
    <s v="TRA O/CTA - AGENTE"/>
    <d v="2019-06-07T00:00:00"/>
    <n v="68"/>
    <n v="201906"/>
    <n v="3072540"/>
    <n v="68"/>
    <x v="0"/>
    <x v="3"/>
    <x v="0"/>
    <x v="0"/>
    <x v="1"/>
  </r>
  <r>
    <x v="0"/>
    <s v="193-1312975-0-72"/>
    <s v="BCP"/>
    <s v="TRA O/CTA - AGENTE"/>
    <d v="2019-06-07T00:00:00"/>
    <n v="150"/>
    <n v="201906"/>
    <n v="3072629"/>
    <n v="150"/>
    <x v="0"/>
    <x v="3"/>
    <x v="0"/>
    <x v="0"/>
    <x v="1"/>
  </r>
  <r>
    <x v="0"/>
    <s v="193-1312975-0-72"/>
    <s v="BCP"/>
    <s v="TRA O/CTA - AGENTE"/>
    <d v="2019-06-07T00:00:00"/>
    <n v="800"/>
    <n v="201906"/>
    <n v="3072853"/>
    <n v="800"/>
    <x v="0"/>
    <x v="3"/>
    <x v="0"/>
    <x v="0"/>
    <x v="1"/>
  </r>
  <r>
    <x v="0"/>
    <s v="0661-63-0200043647"/>
    <s v="BBVA"/>
    <s v="*COLLANTES VASQUEZ CARLA VIVIANA"/>
    <d v="2019-06-07T00:00:00"/>
    <n v="800"/>
    <n v="201906"/>
    <n v="3073238"/>
    <n v="800"/>
    <x v="0"/>
    <x v="3"/>
    <x v="0"/>
    <x v="0"/>
    <x v="0"/>
  </r>
  <r>
    <x v="0"/>
    <s v="0661-63-0200043647"/>
    <s v="BBVA"/>
    <s v="*MAITA QUESADA DENISSE PATRICIA"/>
    <d v="2019-06-07T00:00:00"/>
    <n v="700"/>
    <n v="201906"/>
    <n v="3072607"/>
    <n v="700"/>
    <x v="0"/>
    <x v="3"/>
    <x v="0"/>
    <x v="0"/>
    <x v="0"/>
  </r>
  <r>
    <x v="0"/>
    <s v="193-1312975-0-72"/>
    <s v="BCP"/>
    <s v="DE COOPERAT.DE AHORRO"/>
    <d v="2019-06-07T00:00:00"/>
    <n v="10215.379999999999"/>
    <n v="201906"/>
    <n v="3072546"/>
    <n v="10215.379999999999"/>
    <x v="0"/>
    <x v="3"/>
    <x v="0"/>
    <x v="0"/>
    <x v="0"/>
  </r>
  <r>
    <x v="0"/>
    <s v="193-1312975-0-72"/>
    <s v="BCP"/>
    <s v="DE KENMA S.A.C."/>
    <d v="2019-06-07T00:00:00"/>
    <n v="769.2"/>
    <n v="201906"/>
    <n v="3072855"/>
    <n v="769.2"/>
    <x v="0"/>
    <x v="3"/>
    <x v="0"/>
    <x v="0"/>
    <x v="0"/>
  </r>
  <r>
    <x v="1"/>
    <s v="142-75-0200064790"/>
    <s v="BBVA"/>
    <s v="LORENA GUEVARA CORREA"/>
    <d v="2019-06-07T00:00:00"/>
    <n v="300"/>
    <n v="201906"/>
    <n v="3073076"/>
    <n v="1011"/>
    <x v="0"/>
    <x v="3"/>
    <x v="0"/>
    <x v="0"/>
    <x v="0"/>
  </r>
  <r>
    <x v="0"/>
    <s v="193-1312975-0-72"/>
    <s v="BCP"/>
    <s v="TRAN.CTAS.TERC.BM"/>
    <d v="2019-06-06T00:00:00"/>
    <n v="468"/>
    <n v="201906"/>
    <n v="3072379"/>
    <n v="468"/>
    <x v="0"/>
    <x v="3"/>
    <x v="0"/>
    <x v="0"/>
    <x v="1"/>
  </r>
  <r>
    <x v="0"/>
    <s v="193-1312975-0-72"/>
    <s v="BCP"/>
    <s v="DE 193-23565243-0"/>
    <d v="2019-06-06T00:00:00"/>
    <n v="2300"/>
    <n v="201906"/>
    <n v="3071847"/>
    <n v="2300"/>
    <x v="0"/>
    <x v="3"/>
    <x v="0"/>
    <x v="0"/>
    <x v="0"/>
  </r>
  <r>
    <x v="0"/>
    <s v="041-3000106330"/>
    <s v="IBK"/>
    <s v="DEP.EFECTI - -"/>
    <d v="2019-06-05T00:00:00"/>
    <n v="140"/>
    <n v="201906"/>
    <n v="3071447"/>
    <n v="140"/>
    <x v="0"/>
    <x v="3"/>
    <x v="0"/>
    <x v="0"/>
    <x v="1"/>
  </r>
  <r>
    <x v="0"/>
    <s v="193-1312975-0-72"/>
    <s v="BCP"/>
    <s v="TRAN.CTAS.TERC.BM"/>
    <d v="2019-06-05T00:00:00"/>
    <n v="4.2"/>
    <n v="201906"/>
    <n v="3071321"/>
    <n v="4.2"/>
    <x v="0"/>
    <x v="3"/>
    <x v="0"/>
    <x v="0"/>
    <x v="1"/>
  </r>
  <r>
    <x v="0"/>
    <s v="193-1312975-0-72"/>
    <s v="BCP"/>
    <s v="TRAN.CTAS.TERC.BM"/>
    <d v="2019-06-05T00:00:00"/>
    <n v="1096"/>
    <n v="201906"/>
    <n v="3071663"/>
    <n v="1096"/>
    <x v="0"/>
    <x v="3"/>
    <x v="0"/>
    <x v="0"/>
    <x v="1"/>
  </r>
  <r>
    <x v="1"/>
    <s v="142-75-0200064790"/>
    <s v="BBVA"/>
    <s v="INGRESO EN EFECTIVO OF. EL PINO"/>
    <d v="2019-06-05T00:00:00"/>
    <n v="659.18"/>
    <n v="201906"/>
    <n v="3071152"/>
    <n v="2221.4366"/>
    <x v="0"/>
    <x v="3"/>
    <x v="0"/>
    <x v="0"/>
    <x v="1"/>
  </r>
  <r>
    <x v="0"/>
    <s v="0661-63-0200043647"/>
    <s v="BBVA"/>
    <s v="*QUISPEALAYA MADUE#O LUIS ENRIQUE"/>
    <d v="2019-06-05T00:00:00"/>
    <n v="304.11"/>
    <n v="201906"/>
    <n v="3071143"/>
    <n v="304.11"/>
    <x v="0"/>
    <x v="3"/>
    <x v="0"/>
    <x v="0"/>
    <x v="0"/>
  </r>
  <r>
    <x v="0"/>
    <s v="0661-63-0200043647"/>
    <s v="BBVA"/>
    <s v="INGRESO EN EFECTIVO G EFECTIVO REDE"/>
    <d v="2019-06-04T00:00:00"/>
    <n v="331.5"/>
    <n v="201906"/>
    <n v="3070533"/>
    <n v="331.5"/>
    <x v="0"/>
    <x v="3"/>
    <x v="0"/>
    <x v="0"/>
    <x v="1"/>
  </r>
  <r>
    <x v="0"/>
    <s v="041-3000106330"/>
    <s v="IBK"/>
    <s v="SIADE MOSCOL JOSE ANDRES AAROM"/>
    <d v="2019-06-04T00:00:00"/>
    <n v="280"/>
    <n v="201906"/>
    <n v="3070236"/>
    <n v="280"/>
    <x v="0"/>
    <x v="3"/>
    <x v="0"/>
    <x v="0"/>
    <x v="0"/>
  </r>
  <r>
    <x v="0"/>
    <s v="044-460-0009-24"/>
    <s v="SCOTIA"/>
    <s v="LOPEZ SUCCAR, ANA LUISA"/>
    <d v="2019-06-03T00:00:00"/>
    <n v="800"/>
    <n v="201906"/>
    <n v="3069309"/>
    <n v="800"/>
    <x v="0"/>
    <x v="3"/>
    <x v="0"/>
    <x v="0"/>
    <x v="0"/>
  </r>
  <r>
    <x v="0"/>
    <s v="193-1312975-0-72"/>
    <s v="BCP"/>
    <s v="TRAN.CTAS.TERC.BM"/>
    <d v="2019-06-02T00:00:00"/>
    <n v="20000"/>
    <n v="201906"/>
    <n v="3069235"/>
    <n v="20000"/>
    <x v="0"/>
    <x v="3"/>
    <x v="0"/>
    <x v="0"/>
    <x v="1"/>
  </r>
  <r>
    <x v="0"/>
    <s v="193-1312975-0-72"/>
    <s v="BCP"/>
    <s v="TRAN.CTAS.TERC.BM"/>
    <d v="2019-06-01T00:00:00"/>
    <n v="600"/>
    <n v="201906"/>
    <n v="3069269"/>
    <n v="600"/>
    <x v="0"/>
    <x v="3"/>
    <x v="0"/>
    <x v="0"/>
    <x v="1"/>
  </r>
  <r>
    <x v="1"/>
    <s v="01-044-460-0006-21"/>
    <s v="SCOTIA"/>
    <s v="DONGO SANCHEZ TIRADO, SYLVIA I"/>
    <d v="2019-06-01T00:00:00"/>
    <n v="200"/>
    <n v="201906"/>
    <n v="3069175"/>
    <n v="674"/>
    <x v="0"/>
    <x v="3"/>
    <x v="0"/>
    <x v="0"/>
    <x v="0"/>
  </r>
  <r>
    <x v="1"/>
    <s v="193-1342935-1-08"/>
    <s v="BCP"/>
    <s v="TRAN.CTAS.TERC.BM"/>
    <d v="2019-05-31T00:00:00"/>
    <n v="400"/>
    <n v="201905"/>
    <n v="3068516"/>
    <n v="1348"/>
    <x v="0"/>
    <x v="4"/>
    <x v="0"/>
    <x v="0"/>
    <x v="1"/>
  </r>
  <r>
    <x v="1"/>
    <s v="142-75-0200064790"/>
    <s v="BBVA"/>
    <s v="FATIMA BALMELLI CLUB REGATAS"/>
    <d v="2019-05-31T00:00:00"/>
    <n v="200"/>
    <n v="201905"/>
    <n v="3068474"/>
    <n v="674"/>
    <x v="0"/>
    <x v="4"/>
    <x v="0"/>
    <x v="0"/>
    <x v="0"/>
  </r>
  <r>
    <x v="0"/>
    <s v="100-0006228"/>
    <s v="BANBIF"/>
    <s v="I/S-300519 I026271"/>
    <d v="2019-05-30T00:00:00"/>
    <n v="26021"/>
    <n v="201905"/>
    <n v="3067976"/>
    <n v="26021"/>
    <x v="0"/>
    <x v="4"/>
    <x v="0"/>
    <x v="0"/>
    <x v="1"/>
  </r>
  <r>
    <x v="0"/>
    <s v="193-1312975-0-72"/>
    <s v="BCP"/>
    <s v="TRAN.CTAS.TERC.BM"/>
    <d v="2019-05-30T00:00:00"/>
    <n v="140"/>
    <n v="201905"/>
    <n v="3067832"/>
    <n v="140"/>
    <x v="0"/>
    <x v="4"/>
    <x v="0"/>
    <x v="0"/>
    <x v="1"/>
  </r>
  <r>
    <x v="1"/>
    <s v="193-1342935-1-08"/>
    <s v="BCP"/>
    <s v="TRAN.CTAS.TERC.BM"/>
    <d v="2019-05-30T00:00:00"/>
    <n v="1000"/>
    <n v="201905"/>
    <n v="3067890"/>
    <n v="3370"/>
    <x v="0"/>
    <x v="4"/>
    <x v="0"/>
    <x v="0"/>
    <x v="1"/>
  </r>
  <r>
    <x v="1"/>
    <s v="193-1342935-1-08"/>
    <s v="BCP"/>
    <s v="ENTREGA C/CHEQUES FUE"/>
    <d v="2019-05-30T00:00:00"/>
    <n v="2856.5"/>
    <n v="201905"/>
    <n v="3067710"/>
    <n v="9626.4050000000007"/>
    <x v="0"/>
    <x v="4"/>
    <x v="0"/>
    <x v="0"/>
    <x v="1"/>
  </r>
  <r>
    <x v="0"/>
    <s v="193-1312975-0-72"/>
    <s v="BCP"/>
    <s v="TRA O/CTA - AGENTE"/>
    <d v="2019-05-29T00:00:00"/>
    <n v="72"/>
    <n v="201905"/>
    <n v="3067567"/>
    <n v="72"/>
    <x v="0"/>
    <x v="4"/>
    <x v="0"/>
    <x v="0"/>
    <x v="1"/>
  </r>
  <r>
    <x v="0"/>
    <s v="193-1312975-0-72"/>
    <s v="BCP"/>
    <s v="TRA O/CTA - AGENTE"/>
    <d v="2019-05-28T00:00:00"/>
    <n v="163.19999999999999"/>
    <n v="201905"/>
    <n v="3066810"/>
    <n v="163.19999999999999"/>
    <x v="0"/>
    <x v="4"/>
    <x v="0"/>
    <x v="0"/>
    <x v="1"/>
  </r>
  <r>
    <x v="0"/>
    <s v="193-1312975-0-72"/>
    <s v="BCP"/>
    <s v="TRAN.CTAS.TERC.HK"/>
    <d v="2019-05-28T00:00:00"/>
    <n v="1800"/>
    <n v="201905"/>
    <n v="3066528"/>
    <n v="1800"/>
    <x v="0"/>
    <x v="4"/>
    <x v="0"/>
    <x v="0"/>
    <x v="1"/>
  </r>
  <r>
    <x v="0"/>
    <s v="193-1312975-0-72"/>
    <s v="BCP"/>
    <s v="TRAN.CTAS.TERC.BM"/>
    <d v="2019-05-27T00:00:00"/>
    <n v="280"/>
    <n v="201905"/>
    <n v="3066177"/>
    <n v="280"/>
    <x v="0"/>
    <x v="4"/>
    <x v="0"/>
    <x v="0"/>
    <x v="1"/>
  </r>
  <r>
    <x v="0"/>
    <s v="193-1312975-0-72"/>
    <s v="BCP"/>
    <s v="TRAN.CTAS.TERC.BM"/>
    <d v="2019-05-27T00:00:00"/>
    <n v="546"/>
    <n v="201905"/>
    <n v="3066318"/>
    <n v="546"/>
    <x v="0"/>
    <x v="4"/>
    <x v="0"/>
    <x v="0"/>
    <x v="1"/>
  </r>
  <r>
    <x v="1"/>
    <s v="142-75-0200064790"/>
    <s v="BBVA"/>
    <s v="LORENA GUEVARA CORREA"/>
    <d v="2019-05-27T00:00:00"/>
    <n v="250"/>
    <n v="201905"/>
    <n v="3066089"/>
    <n v="842.5"/>
    <x v="0"/>
    <x v="4"/>
    <x v="0"/>
    <x v="0"/>
    <x v="0"/>
  </r>
  <r>
    <x v="1"/>
    <s v="142-75-0200064790"/>
    <s v="BBVA"/>
    <s v="INGRESO EN EFECTIVO CAMINO REAL"/>
    <d v="2019-05-25T00:00:00"/>
    <n v="420.63"/>
    <n v="201905"/>
    <n v="3065595"/>
    <n v="1417.5231000000001"/>
    <x v="0"/>
    <x v="4"/>
    <x v="0"/>
    <x v="0"/>
    <x v="1"/>
  </r>
  <r>
    <x v="0"/>
    <s v="193-1312975-0-72"/>
    <s v="BCP"/>
    <s v="TRAN.CTAS.TERC.BM"/>
    <d v="2019-05-24T00:00:00"/>
    <n v="10"/>
    <n v="201905"/>
    <n v="3064806"/>
    <n v="10"/>
    <x v="0"/>
    <x v="4"/>
    <x v="0"/>
    <x v="0"/>
    <x v="1"/>
  </r>
  <r>
    <x v="0"/>
    <s v="193-1312975-0-72"/>
    <s v="BCP"/>
    <s v="TRA O/CTA - AGENTE"/>
    <d v="2019-05-23T00:00:00"/>
    <n v="10.5"/>
    <n v="201905"/>
    <n v="3064672"/>
    <n v="10.5"/>
    <x v="0"/>
    <x v="4"/>
    <x v="0"/>
    <x v="0"/>
    <x v="1"/>
  </r>
  <r>
    <x v="0"/>
    <s v="193-1312975-0-72"/>
    <s v="BCP"/>
    <s v="TRAN.CTAS.TERC.HK"/>
    <d v="2019-05-23T00:00:00"/>
    <n v="50"/>
    <n v="201905"/>
    <n v="3064392"/>
    <n v="50"/>
    <x v="0"/>
    <x v="4"/>
    <x v="0"/>
    <x v="0"/>
    <x v="1"/>
  </r>
  <r>
    <x v="1"/>
    <s v="193-1342935-1-08"/>
    <s v="BCP"/>
    <s v="TRAN.CTAS.TERC.BM"/>
    <d v="2019-05-23T00:00:00"/>
    <n v="250"/>
    <n v="201905"/>
    <n v="3064433"/>
    <n v="842.5"/>
    <x v="0"/>
    <x v="4"/>
    <x v="0"/>
    <x v="0"/>
    <x v="1"/>
  </r>
  <r>
    <x v="0"/>
    <s v="0661-63-0200043647"/>
    <s v="BBVA"/>
    <s v="AA OF. LA RAMBLA"/>
    <d v="2019-05-22T00:00:00"/>
    <n v="280"/>
    <n v="201905"/>
    <n v="3063930"/>
    <n v="280"/>
    <x v="0"/>
    <x v="4"/>
    <x v="0"/>
    <x v="0"/>
    <x v="1"/>
  </r>
  <r>
    <x v="0"/>
    <s v="193-1312975-0-72"/>
    <s v="BCP"/>
    <s v="TRAN.CTAS.TERC.BM"/>
    <d v="2019-05-22T00:00:00"/>
    <n v="382"/>
    <n v="201905"/>
    <n v="3064074"/>
    <n v="382"/>
    <x v="0"/>
    <x v="4"/>
    <x v="0"/>
    <x v="0"/>
    <x v="1"/>
  </r>
  <r>
    <x v="0"/>
    <s v="100-0006228"/>
    <s v="BANBIF"/>
    <s v="I/S-210519 I995885"/>
    <d v="2019-05-21T00:00:00"/>
    <n v="6000"/>
    <n v="201905"/>
    <n v="3063290"/>
    <n v="6000"/>
    <x v="0"/>
    <x v="4"/>
    <x v="0"/>
    <x v="0"/>
    <x v="1"/>
  </r>
  <r>
    <x v="0"/>
    <s v="193-1312975-0-72"/>
    <s v="BCP"/>
    <s v="TRAN.CTAS.TERC.BM"/>
    <d v="2019-05-21T00:00:00"/>
    <n v="100"/>
    <n v="201905"/>
    <n v="3063710"/>
    <n v="100"/>
    <x v="0"/>
    <x v="4"/>
    <x v="0"/>
    <x v="0"/>
    <x v="1"/>
  </r>
  <r>
    <x v="0"/>
    <s v="193-1312975-0-72"/>
    <s v="BCP"/>
    <s v="ENTR.EFEC. 0499797"/>
    <d v="2019-05-21T00:00:00"/>
    <n v="310"/>
    <n v="201905"/>
    <n v="3063461"/>
    <n v="310"/>
    <x v="0"/>
    <x v="4"/>
    <x v="0"/>
    <x v="0"/>
    <x v="1"/>
  </r>
  <r>
    <x v="0"/>
    <s v="193-1312975-0-72"/>
    <s v="BCP"/>
    <s v="TRAN.CTAS.TERC.BM"/>
    <d v="2019-05-20T00:00:00"/>
    <n v="450"/>
    <n v="201905"/>
    <n v="3062873"/>
    <n v="450"/>
    <x v="0"/>
    <x v="4"/>
    <x v="0"/>
    <x v="0"/>
    <x v="1"/>
  </r>
  <r>
    <x v="0"/>
    <s v="193-1312975-0-72"/>
    <s v="BCP"/>
    <s v="TRAN.CTAS.TERC.BM"/>
    <d v="2019-05-20T00:00:00"/>
    <n v="580"/>
    <n v="201905"/>
    <n v="3062880"/>
    <n v="580"/>
    <x v="0"/>
    <x v="4"/>
    <x v="0"/>
    <x v="0"/>
    <x v="1"/>
  </r>
  <r>
    <x v="0"/>
    <s v="193-1312975-0-72"/>
    <s v="BCP"/>
    <s v="ENTR.EFEC. 0970871"/>
    <d v="2019-05-20T00:00:00"/>
    <n v="120"/>
    <n v="201905"/>
    <n v="3062502"/>
    <n v="120"/>
    <x v="0"/>
    <x v="4"/>
    <x v="0"/>
    <x v="0"/>
    <x v="1"/>
  </r>
  <r>
    <x v="0"/>
    <s v="0661-63-0200043647"/>
    <s v="BBVA"/>
    <s v="73568760 G EFECTIVO REDE"/>
    <d v="2019-05-18T00:00:00"/>
    <n v="200"/>
    <n v="201905"/>
    <n v="3062374"/>
    <n v="200"/>
    <x v="0"/>
    <x v="4"/>
    <x v="0"/>
    <x v="0"/>
    <x v="1"/>
  </r>
  <r>
    <x v="0"/>
    <s v="193-1312975-0-72"/>
    <s v="BCP"/>
    <s v="TRAN.CTAS.TERC.BM"/>
    <d v="2019-05-18T00:00:00"/>
    <n v="10"/>
    <n v="201905"/>
    <n v="3062347"/>
    <n v="10"/>
    <x v="0"/>
    <x v="4"/>
    <x v="0"/>
    <x v="0"/>
    <x v="1"/>
  </r>
  <r>
    <x v="0"/>
    <s v="0661-63-0200043647"/>
    <s v="BBVA"/>
    <s v="INGRESO EN EFECTIVO CLUB REGATAS"/>
    <d v="2019-05-15T00:00:00"/>
    <n v="100"/>
    <n v="201905"/>
    <n v="3060688"/>
    <n v="100"/>
    <x v="0"/>
    <x v="4"/>
    <x v="0"/>
    <x v="0"/>
    <x v="1"/>
  </r>
  <r>
    <x v="1"/>
    <s v="142-72-0100037087"/>
    <s v="BBVA"/>
    <s v="1982619PYINTEREST RATMERC"/>
    <d v="2019-05-15T00:00:00"/>
    <n v="39432.94"/>
    <n v="201905"/>
    <n v="3061092"/>
    <n v="132889.00780000002"/>
    <x v="0"/>
    <x v="4"/>
    <x v="0"/>
    <x v="0"/>
    <x v="1"/>
  </r>
  <r>
    <x v="0"/>
    <s v="0661-63-0200043647"/>
    <s v="BBVA"/>
    <s v="RAUL HUGO ABILIO MARTINOT LUYO"/>
    <d v="2019-05-15T00:00:00"/>
    <n v="100"/>
    <n v="201905"/>
    <n v="3060959"/>
    <n v="100"/>
    <x v="0"/>
    <x v="4"/>
    <x v="0"/>
    <x v="0"/>
    <x v="0"/>
  </r>
  <r>
    <x v="0"/>
    <s v="193-1312975-0-72"/>
    <s v="BCP"/>
    <s v="TRAN.CTAS.TERC.BM"/>
    <d v="2019-05-13T00:00:00"/>
    <n v="608"/>
    <n v="201905"/>
    <n v="3059367"/>
    <n v="608"/>
    <x v="0"/>
    <x v="4"/>
    <x v="0"/>
    <x v="0"/>
    <x v="1"/>
  </r>
  <r>
    <x v="0"/>
    <s v="0661-63-0200043647"/>
    <s v="BBVA"/>
    <s v="MAGALY SILVA CORDERO"/>
    <d v="2019-05-13T00:00:00"/>
    <n v="1050"/>
    <n v="201905"/>
    <n v="3059267"/>
    <n v="1050"/>
    <x v="0"/>
    <x v="4"/>
    <x v="0"/>
    <x v="0"/>
    <x v="0"/>
  </r>
  <r>
    <x v="0"/>
    <s v="0661-63-0200043647"/>
    <s v="BBVA"/>
    <s v="*SUAREZ TAPIA MARYURI HORTENCIA"/>
    <d v="2019-05-13T00:00:00"/>
    <n v="100"/>
    <n v="201905"/>
    <n v="3059683"/>
    <n v="100"/>
    <x v="0"/>
    <x v="4"/>
    <x v="0"/>
    <x v="0"/>
    <x v="0"/>
  </r>
  <r>
    <x v="0"/>
    <s v="193-1312975-0-72"/>
    <s v="BCP"/>
    <s v="TRA O/CTA - AGENTE"/>
    <d v="2019-05-10T00:00:00"/>
    <n v="204"/>
    <n v="201905"/>
    <n v="3058689"/>
    <n v="204"/>
    <x v="0"/>
    <x v="4"/>
    <x v="0"/>
    <x v="0"/>
    <x v="1"/>
  </r>
  <r>
    <x v="1"/>
    <s v="193-1342935-1-08"/>
    <s v="BCP"/>
    <s v="TRAN.CTAS.TERC.BM"/>
    <d v="2019-05-10T00:00:00"/>
    <n v="3000"/>
    <n v="201905"/>
    <n v="3058792"/>
    <n v="10110"/>
    <x v="0"/>
    <x v="4"/>
    <x v="0"/>
    <x v="0"/>
    <x v="1"/>
  </r>
  <r>
    <x v="0"/>
    <s v="193-1312975-0-72"/>
    <s v="BCP"/>
    <s v="DE TECNOFIL S.A."/>
    <d v="2019-05-10T00:00:00"/>
    <n v="5209.34"/>
    <n v="201905"/>
    <n v="3058589"/>
    <n v="5209.34"/>
    <x v="0"/>
    <x v="4"/>
    <x v="0"/>
    <x v="0"/>
    <x v="0"/>
  </r>
  <r>
    <x v="1"/>
    <s v="193-1342935-1-08"/>
    <s v="BCP"/>
    <s v="ENTREGA C/CHEQUES FUE"/>
    <d v="2019-05-09T00:00:00"/>
    <n v="10232.209999999999"/>
    <n v="201905"/>
    <n v="3057969"/>
    <n v="34482.547699999996"/>
    <x v="0"/>
    <x v="4"/>
    <x v="0"/>
    <x v="0"/>
    <x v="1"/>
  </r>
  <r>
    <x v="1"/>
    <s v="193-1342935-1-08"/>
    <s v="BCP"/>
    <s v="CHEQUE POR CONFIRMAR"/>
    <d v="2019-05-09T00:00:00"/>
    <n v="8250"/>
    <n v="201905"/>
    <n v="3057970"/>
    <n v="27802.5"/>
    <x v="0"/>
    <x v="4"/>
    <x v="0"/>
    <x v="0"/>
    <x v="1"/>
  </r>
  <r>
    <x v="0"/>
    <s v="193-1312975-0-72"/>
    <s v="BCP"/>
    <s v="TRA O/CTA SOL ATM"/>
    <d v="2019-05-08T00:00:00"/>
    <n v="1600"/>
    <n v="201905"/>
    <n v="3057654"/>
    <n v="1600"/>
    <x v="0"/>
    <x v="4"/>
    <x v="0"/>
    <x v="0"/>
    <x v="1"/>
  </r>
  <r>
    <x v="0"/>
    <s v="0661-63-0200043647"/>
    <s v="BBVA"/>
    <s v="INGRESO EN EFECTIVO AEP SUPERMECADO"/>
    <d v="2019-05-07T00:00:00"/>
    <n v="800"/>
    <n v="201905"/>
    <n v="3057137"/>
    <n v="800"/>
    <x v="0"/>
    <x v="4"/>
    <x v="0"/>
    <x v="0"/>
    <x v="1"/>
  </r>
  <r>
    <x v="0"/>
    <s v="193-1312975-0-72"/>
    <s v="BCP"/>
    <s v="TRAN.CTAS.TERC.BM"/>
    <d v="2019-05-07T00:00:00"/>
    <n v="806"/>
    <n v="201905"/>
    <n v="3056887"/>
    <n v="806"/>
    <x v="0"/>
    <x v="4"/>
    <x v="0"/>
    <x v="0"/>
    <x v="1"/>
  </r>
  <r>
    <x v="0"/>
    <s v="041-3000106330"/>
    <s v="IBK"/>
    <s v="DEP.EFECTI - -"/>
    <d v="2019-05-06T00:00:00"/>
    <n v="300"/>
    <n v="201905"/>
    <n v="3056491"/>
    <n v="300"/>
    <x v="0"/>
    <x v="4"/>
    <x v="0"/>
    <x v="0"/>
    <x v="1"/>
  </r>
  <r>
    <x v="0"/>
    <s v="193-1312975-0-72"/>
    <s v="BCP"/>
    <s v="TRAN.CTAS.TERC.BM"/>
    <d v="2019-05-06T00:00:00"/>
    <n v="800"/>
    <n v="201905"/>
    <n v="3056088"/>
    <n v="800"/>
    <x v="0"/>
    <x v="4"/>
    <x v="0"/>
    <x v="0"/>
    <x v="1"/>
  </r>
  <r>
    <x v="0"/>
    <s v="0661-63-0200043647"/>
    <s v="BBVA"/>
    <s v="*QUISPEALAYA MADUE#O LUIS ENRIQUE"/>
    <d v="2019-05-06T00:00:00"/>
    <n v="304.11"/>
    <n v="201905"/>
    <n v="3055705"/>
    <n v="304.11"/>
    <x v="0"/>
    <x v="4"/>
    <x v="0"/>
    <x v="0"/>
    <x v="0"/>
  </r>
  <r>
    <x v="0"/>
    <s v="0661-63-0200043647"/>
    <s v="BBVA"/>
    <s v="PEDRO DIAZ GUILLEN PLAZA BOLOGNESI"/>
    <d v="2019-05-06T00:00:00"/>
    <n v="800"/>
    <n v="201905"/>
    <n v="3056123"/>
    <n v="800"/>
    <x v="0"/>
    <x v="4"/>
    <x v="0"/>
    <x v="0"/>
    <x v="0"/>
  </r>
  <r>
    <x v="0"/>
    <s v="0661-63-0200043647"/>
    <s v="BBVA"/>
    <s v="*SEMINARIO EGUILUZ ROBERTO MIGUEL"/>
    <d v="2019-05-05T00:00:00"/>
    <n v="800"/>
    <n v="201905"/>
    <n v="3055710"/>
    <n v="800"/>
    <x v="0"/>
    <x v="4"/>
    <x v="0"/>
    <x v="0"/>
    <x v="0"/>
  </r>
  <r>
    <x v="0"/>
    <s v="193-1312975-0-72"/>
    <s v="BCP"/>
    <s v="TRA O/CTA SOL ATM"/>
    <d v="2019-05-04T00:00:00"/>
    <n v="474.5"/>
    <n v="201905"/>
    <n v="3055678"/>
    <n v="474.5"/>
    <x v="0"/>
    <x v="4"/>
    <x v="0"/>
    <x v="0"/>
    <x v="1"/>
  </r>
  <r>
    <x v="0"/>
    <s v="193-1312975-0-72"/>
    <s v="BCP"/>
    <s v="TRAN.CTAS.TERC.HK"/>
    <d v="2019-05-04T00:00:00"/>
    <n v="800"/>
    <n v="201905"/>
    <n v="3055451"/>
    <n v="800"/>
    <x v="0"/>
    <x v="4"/>
    <x v="0"/>
    <x v="0"/>
    <x v="1"/>
  </r>
  <r>
    <x v="0"/>
    <s v="193-1312975-0-72"/>
    <s v="BCP"/>
    <s v="TRAN.CTAS.TERC.HK"/>
    <d v="2019-05-03T00:00:00"/>
    <n v="1667"/>
    <n v="201905"/>
    <n v="3054717"/>
    <n v="1667"/>
    <x v="0"/>
    <x v="4"/>
    <x v="0"/>
    <x v="0"/>
    <x v="1"/>
  </r>
  <r>
    <x v="0"/>
    <s v="193-1312975-0-72"/>
    <s v="BCP"/>
    <s v="TRAN.CTAS.TERC.HK"/>
    <d v="2019-05-03T00:00:00"/>
    <n v="13"/>
    <n v="201905"/>
    <n v="3054730"/>
    <n v="13"/>
    <x v="0"/>
    <x v="4"/>
    <x v="0"/>
    <x v="0"/>
    <x v="1"/>
  </r>
  <r>
    <x v="1"/>
    <s v="142-75-0200064790"/>
    <s v="BBVA"/>
    <s v="PAGO INTERESES PRESTAMO PACIFICO"/>
    <d v="2019-05-03T00:00:00"/>
    <n v="63.7"/>
    <n v="201905"/>
    <n v="3055898"/>
    <n v="214.66900000000001"/>
    <x v="0"/>
    <x v="4"/>
    <x v="0"/>
    <x v="0"/>
    <x v="1"/>
  </r>
  <r>
    <x v="1"/>
    <s v="193-1342935-1-08"/>
    <s v="BCP"/>
    <s v="ENTR.EFEC. 0386297"/>
    <d v="2019-05-03T00:00:00"/>
    <n v="420"/>
    <n v="201905"/>
    <n v="3055079"/>
    <n v="1415.4"/>
    <x v="0"/>
    <x v="4"/>
    <x v="0"/>
    <x v="0"/>
    <x v="1"/>
  </r>
  <r>
    <x v="1"/>
    <s v="193-1342935-1-08"/>
    <s v="BCP"/>
    <s v="ENTR.EFEC. 0998504"/>
    <d v="2019-05-03T00:00:00"/>
    <n v="637.79999999999995"/>
    <n v="201905"/>
    <n v="3054859"/>
    <n v="2149.386"/>
    <x v="0"/>
    <x v="4"/>
    <x v="0"/>
    <x v="0"/>
    <x v="1"/>
  </r>
  <r>
    <x v="0"/>
    <s v="044-460-0009-24"/>
    <s v="SCOTIA"/>
    <s v="RAMOS PACHECO, JORGE ANTONIO"/>
    <d v="2019-05-03T00:00:00"/>
    <n v="800"/>
    <n v="201905"/>
    <n v="3054650"/>
    <n v="800"/>
    <x v="0"/>
    <x v="4"/>
    <x v="0"/>
    <x v="0"/>
    <x v="0"/>
  </r>
  <r>
    <x v="0"/>
    <s v="193-1312975-0-72"/>
    <s v="BCP"/>
    <s v="TRA O/CTA - AGENTE"/>
    <d v="2019-05-02T00:00:00"/>
    <n v="322.39999999999998"/>
    <n v="201905"/>
    <n v="3054584"/>
    <n v="322.39999999999998"/>
    <x v="0"/>
    <x v="4"/>
    <x v="0"/>
    <x v="0"/>
    <x v="1"/>
  </r>
  <r>
    <x v="0"/>
    <s v="193-1312975-0-72"/>
    <s v="BCP"/>
    <s v="TRAN.CTAS.TERC.BM"/>
    <d v="2019-05-02T00:00:00"/>
    <n v="580"/>
    <n v="201905"/>
    <n v="3054444"/>
    <n v="580"/>
    <x v="0"/>
    <x v="4"/>
    <x v="0"/>
    <x v="0"/>
    <x v="1"/>
  </r>
  <r>
    <x v="0"/>
    <s v="193-1312975-0-72"/>
    <s v="BCP"/>
    <s v="TRAN.CTAS.TERC.BM"/>
    <d v="2019-05-01T00:00:00"/>
    <n v="600"/>
    <n v="201905"/>
    <n v="3053874"/>
    <n v="600"/>
    <x v="0"/>
    <x v="4"/>
    <x v="0"/>
    <x v="0"/>
    <x v="1"/>
  </r>
  <r>
    <x v="0"/>
    <s v="193-1312975-0-72"/>
    <s v="BCP"/>
    <s v="TRAN.CTAS.TERC.BM"/>
    <d v="2019-05-01T00:00:00"/>
    <n v="180"/>
    <n v="201905"/>
    <n v="3053877"/>
    <n v="180"/>
    <x v="0"/>
    <x v="4"/>
    <x v="0"/>
    <x v="0"/>
    <x v="1"/>
  </r>
  <r>
    <x v="0"/>
    <s v="193-1312975-0-72"/>
    <s v="BCP"/>
    <s v="TRAN.CTAS.TERC.BM"/>
    <d v="2019-04-30T00:00:00"/>
    <n v="580"/>
    <n v="201904"/>
    <n v="3053078"/>
    <n v="580"/>
    <x v="0"/>
    <x v="5"/>
    <x v="0"/>
    <x v="0"/>
    <x v="1"/>
  </r>
  <r>
    <x v="0"/>
    <s v="193-1312975-0-72"/>
    <s v="BCP"/>
    <s v="TRAN.CTAS.TERC.BM"/>
    <d v="2019-04-30T00:00:00"/>
    <n v="275"/>
    <n v="201904"/>
    <n v="3053109"/>
    <n v="275"/>
    <x v="0"/>
    <x v="5"/>
    <x v="0"/>
    <x v="0"/>
    <x v="1"/>
  </r>
  <r>
    <x v="1"/>
    <s v="193-1342935-1-08"/>
    <s v="BCP"/>
    <s v="ENTREGA C/CHEQUES FUE"/>
    <d v="2019-04-30T00:00:00"/>
    <n v="2763.9"/>
    <n v="201904"/>
    <n v="3053120"/>
    <n v="9314.3430000000008"/>
    <x v="0"/>
    <x v="5"/>
    <x v="0"/>
    <x v="0"/>
    <x v="1"/>
  </r>
  <r>
    <x v="0"/>
    <s v="041-3000106330"/>
    <s v="IBK"/>
    <s v="DEP.EFECTI - -"/>
    <d v="2019-04-29T00:00:00"/>
    <n v="100"/>
    <n v="201904"/>
    <n v="3052212"/>
    <n v="100"/>
    <x v="0"/>
    <x v="5"/>
    <x v="0"/>
    <x v="0"/>
    <x v="1"/>
  </r>
  <r>
    <x v="0"/>
    <s v="193-1312975-0-72"/>
    <s v="BCP"/>
    <s v="TRAN.CTAS.TERC.BM"/>
    <d v="2019-04-27T00:00:00"/>
    <n v="184"/>
    <n v="201904"/>
    <n v="3051987"/>
    <n v="184"/>
    <x v="0"/>
    <x v="5"/>
    <x v="0"/>
    <x v="0"/>
    <x v="1"/>
  </r>
  <r>
    <x v="0"/>
    <s v="193-1312975-0-72"/>
    <s v="BCP"/>
    <s v="TRAN.CTAS.TERC.BM"/>
    <d v="2019-04-27T00:00:00"/>
    <n v="304"/>
    <n v="201904"/>
    <n v="3051884"/>
    <n v="304"/>
    <x v="0"/>
    <x v="5"/>
    <x v="0"/>
    <x v="0"/>
    <x v="1"/>
  </r>
  <r>
    <x v="0"/>
    <s v="041-3000106330"/>
    <s v="IBK"/>
    <s v="DEP.EFECTI - -"/>
    <d v="2019-04-25T00:00:00"/>
    <n v="190"/>
    <n v="201904"/>
    <n v="3050681"/>
    <n v="190"/>
    <x v="0"/>
    <x v="5"/>
    <x v="0"/>
    <x v="0"/>
    <x v="1"/>
  </r>
  <r>
    <x v="0"/>
    <s v="193-1312975-0-72"/>
    <s v="BCP"/>
    <s v="TRAN.CTAS.TERC.HK"/>
    <d v="2019-04-25T00:00:00"/>
    <n v="100"/>
    <n v="201904"/>
    <n v="3050620"/>
    <n v="100"/>
    <x v="0"/>
    <x v="5"/>
    <x v="0"/>
    <x v="0"/>
    <x v="1"/>
  </r>
  <r>
    <x v="1"/>
    <s v="193-1342935-1-08"/>
    <s v="BCP"/>
    <s v="DEP EFECT DOL ATM"/>
    <d v="2019-04-24T00:00:00"/>
    <n v="155"/>
    <n v="201904"/>
    <n v="3049877"/>
    <n v="522.35"/>
    <x v="0"/>
    <x v="5"/>
    <x v="0"/>
    <x v="0"/>
    <x v="1"/>
  </r>
  <r>
    <x v="0"/>
    <s v="193-1312975-0-72"/>
    <s v="BCP"/>
    <s v="DE POLIMAT SOCIEDAD AN"/>
    <d v="2019-04-24T00:00:00"/>
    <n v="80"/>
    <n v="201904"/>
    <n v="3049744"/>
    <n v="80"/>
    <x v="0"/>
    <x v="5"/>
    <x v="0"/>
    <x v="0"/>
    <x v="0"/>
  </r>
  <r>
    <x v="0"/>
    <s v="193-1312975-0-72"/>
    <s v="BCP"/>
    <s v="TRA O/CTA - AGENTE"/>
    <d v="2019-04-23T00:00:00"/>
    <n v="411"/>
    <n v="201904"/>
    <n v="3049614"/>
    <n v="411"/>
    <x v="0"/>
    <x v="5"/>
    <x v="0"/>
    <x v="0"/>
    <x v="1"/>
  </r>
  <r>
    <x v="0"/>
    <s v="0661-63-0200043647"/>
    <s v="BBVA"/>
    <s v="*AGUIRE HIGA AIDA DELFINA"/>
    <d v="2019-04-22T00:00:00"/>
    <n v="40"/>
    <n v="201904"/>
    <n v="3049177"/>
    <n v="40"/>
    <x v="0"/>
    <x v="5"/>
    <x v="0"/>
    <x v="0"/>
    <x v="0"/>
  </r>
  <r>
    <x v="1"/>
    <s v="142-75-0200064790"/>
    <s v="BBVA"/>
    <s v="TRANS. DE CTA. 001101560200601822"/>
    <d v="2019-04-22T00:00:00"/>
    <n v="910"/>
    <n v="201904"/>
    <n v="3048576"/>
    <n v="3066.7000000000003"/>
    <x v="0"/>
    <x v="5"/>
    <x v="0"/>
    <x v="0"/>
    <x v="0"/>
  </r>
  <r>
    <x v="0"/>
    <s v="193-1312975-0-72"/>
    <s v="BCP"/>
    <s v="TRAN.CTAS.TERC.BM"/>
    <d v="2019-04-17T00:00:00"/>
    <n v="33"/>
    <n v="201904"/>
    <n v="3048108"/>
    <n v="33"/>
    <x v="0"/>
    <x v="5"/>
    <x v="0"/>
    <x v="0"/>
    <x v="1"/>
  </r>
  <r>
    <x v="0"/>
    <s v="193-1312975-0-72"/>
    <s v="BCP"/>
    <s v="TRAN.CTAS.TERC.BM"/>
    <d v="2019-04-17T00:00:00"/>
    <n v="906.87"/>
    <n v="201904"/>
    <n v="3048175"/>
    <n v="906.87"/>
    <x v="0"/>
    <x v="5"/>
    <x v="0"/>
    <x v="0"/>
    <x v="1"/>
  </r>
  <r>
    <x v="0"/>
    <s v="193-1312975-0-72"/>
    <s v="BCP"/>
    <s v="ENTR.EFEC. 0765017"/>
    <d v="2019-04-16T00:00:00"/>
    <n v="400"/>
    <n v="201904"/>
    <n v="3047181"/>
    <n v="400"/>
    <x v="0"/>
    <x v="5"/>
    <x v="0"/>
    <x v="0"/>
    <x v="1"/>
  </r>
  <r>
    <x v="0"/>
    <s v="193-1312975-0-72"/>
    <s v="BCP"/>
    <s v="TRAN.CTAS.TERC.HK"/>
    <d v="2019-04-16T00:00:00"/>
    <n v="28000"/>
    <n v="201904"/>
    <n v="3047029"/>
    <n v="28000"/>
    <x v="0"/>
    <x v="5"/>
    <x v="0"/>
    <x v="0"/>
    <x v="1"/>
  </r>
  <r>
    <x v="0"/>
    <s v="193-1312975-0-72"/>
    <s v="BCP"/>
    <s v="TRAN.CTAS.TERC.BM"/>
    <d v="2019-04-16T00:00:00"/>
    <n v="502"/>
    <n v="201904"/>
    <n v="3047031"/>
    <n v="502"/>
    <x v="0"/>
    <x v="5"/>
    <x v="0"/>
    <x v="0"/>
    <x v="1"/>
  </r>
  <r>
    <x v="0"/>
    <s v="193-1312975-0-72"/>
    <s v="BCP"/>
    <s v="TRA O/CTA - AGENTE"/>
    <d v="2019-04-16T00:00:00"/>
    <n v="150"/>
    <n v="201904"/>
    <n v="3047404"/>
    <n v="150"/>
    <x v="0"/>
    <x v="5"/>
    <x v="0"/>
    <x v="0"/>
    <x v="1"/>
  </r>
  <r>
    <x v="0"/>
    <s v="100-0006228"/>
    <s v="BANBIF"/>
    <s v="CORPORACION BARRETO EIRL"/>
    <d v="2019-04-16T00:00:00"/>
    <n v="110"/>
    <n v="201904"/>
    <n v="3047806"/>
    <n v="110"/>
    <x v="0"/>
    <x v="5"/>
    <x v="0"/>
    <x v="0"/>
    <x v="0"/>
  </r>
  <r>
    <x v="1"/>
    <s v="041-3000106347"/>
    <s v="IBK"/>
    <s v="GUIMA YHO KATEHRINE ZAIDA"/>
    <d v="2019-04-15T00:00:00"/>
    <n v="230.59"/>
    <n v="201904"/>
    <n v="3046745"/>
    <n v="777.0883"/>
    <x v="0"/>
    <x v="5"/>
    <x v="0"/>
    <x v="0"/>
    <x v="0"/>
  </r>
  <r>
    <x v="0"/>
    <s v="193-1312975-0-72"/>
    <s v="BCP"/>
    <s v="TRAN.CTAS.TERC.BM"/>
    <d v="2019-04-13T00:00:00"/>
    <n v="410"/>
    <n v="201904"/>
    <n v="3046053"/>
    <n v="410"/>
    <x v="0"/>
    <x v="5"/>
    <x v="0"/>
    <x v="0"/>
    <x v="1"/>
  </r>
  <r>
    <x v="0"/>
    <s v="193-1312975-0-72"/>
    <s v="BCP"/>
    <s v="TRAN.CTAS.TERC.BM"/>
    <d v="2019-04-12T00:00:00"/>
    <n v="10"/>
    <n v="201904"/>
    <n v="3045427"/>
    <n v="10"/>
    <x v="0"/>
    <x v="5"/>
    <x v="0"/>
    <x v="0"/>
    <x v="1"/>
  </r>
  <r>
    <x v="0"/>
    <s v="193-1312975-0-72"/>
    <s v="BCP"/>
    <s v="ENTR.EFEC. 0875973"/>
    <d v="2019-04-12T00:00:00"/>
    <n v="300"/>
    <n v="201904"/>
    <n v="3045697"/>
    <n v="300"/>
    <x v="0"/>
    <x v="5"/>
    <x v="0"/>
    <x v="0"/>
    <x v="1"/>
  </r>
  <r>
    <x v="0"/>
    <s v="193-1312975-0-72"/>
    <s v="BCP"/>
    <s v="TRAN.CTAS.TERC.HK"/>
    <d v="2019-04-12T00:00:00"/>
    <n v="1500"/>
    <n v="201904"/>
    <n v="3045700"/>
    <n v="1500"/>
    <x v="0"/>
    <x v="5"/>
    <x v="0"/>
    <x v="0"/>
    <x v="1"/>
  </r>
  <r>
    <x v="0"/>
    <s v="0661-63-0200043647"/>
    <s v="BBVA"/>
    <s v="*LOSTAUNAU MONTES LUIS ALBERTO"/>
    <d v="2019-04-11T00:00:00"/>
    <n v="140"/>
    <n v="201904"/>
    <n v="3045410"/>
    <n v="140"/>
    <x v="0"/>
    <x v="5"/>
    <x v="0"/>
    <x v="0"/>
    <x v="0"/>
  </r>
  <r>
    <x v="0"/>
    <s v="193-1312975-0-72"/>
    <s v="BCP"/>
    <s v="TRAN.CTAS.TERC.BM"/>
    <d v="2019-04-10T00:00:00"/>
    <n v="336"/>
    <n v="201904"/>
    <n v="3044876"/>
    <n v="336"/>
    <x v="0"/>
    <x v="5"/>
    <x v="0"/>
    <x v="0"/>
    <x v="1"/>
  </r>
  <r>
    <x v="0"/>
    <s v="193-1312975-0-72"/>
    <s v="BCP"/>
    <s v="ENTR.EFEC. 0795609"/>
    <d v="2019-04-10T00:00:00"/>
    <n v="5080"/>
    <n v="201904"/>
    <n v="3044761"/>
    <n v="5080"/>
    <x v="0"/>
    <x v="5"/>
    <x v="0"/>
    <x v="0"/>
    <x v="1"/>
  </r>
  <r>
    <x v="0"/>
    <s v="193-1312975-0-72"/>
    <s v="BCP"/>
    <s v="TRA O/CTA - AGENTE"/>
    <d v="2019-04-09T00:00:00"/>
    <n v="120.4"/>
    <n v="201904"/>
    <n v="3044367"/>
    <n v="120.4"/>
    <x v="0"/>
    <x v="5"/>
    <x v="0"/>
    <x v="0"/>
    <x v="1"/>
  </r>
  <r>
    <x v="0"/>
    <s v="193-1312975-0-72"/>
    <s v="BCP"/>
    <s v="TRAN.CTAS.TERC.BM"/>
    <d v="2019-04-08T00:00:00"/>
    <n v="120"/>
    <n v="201904"/>
    <n v="3043450"/>
    <n v="120"/>
    <x v="0"/>
    <x v="5"/>
    <x v="0"/>
    <x v="0"/>
    <x v="1"/>
  </r>
  <r>
    <x v="0"/>
    <s v="193-1312975-0-72"/>
    <s v="BCP"/>
    <s v="TRAN.CTAS.TERC.BM"/>
    <d v="2019-04-08T00:00:00"/>
    <n v="424"/>
    <n v="201904"/>
    <n v="3043780"/>
    <n v="424"/>
    <x v="0"/>
    <x v="5"/>
    <x v="0"/>
    <x v="0"/>
    <x v="1"/>
  </r>
  <r>
    <x v="0"/>
    <s v="0661-63-0200043647"/>
    <s v="BBVA"/>
    <s v="INGRESO EN EFECTIVO AEP SUPERMECADO"/>
    <d v="2019-04-07T00:00:00"/>
    <n v="800"/>
    <n v="201904"/>
    <n v="3043247"/>
    <n v="800"/>
    <x v="0"/>
    <x v="5"/>
    <x v="0"/>
    <x v="0"/>
    <x v="1"/>
  </r>
  <r>
    <x v="0"/>
    <s v="193-1312975-0-72"/>
    <s v="BCP"/>
    <s v="TRA O/CTA - AGENTE"/>
    <d v="2019-04-06T00:00:00"/>
    <n v="800"/>
    <n v="201904"/>
    <n v="3043188"/>
    <n v="800"/>
    <x v="0"/>
    <x v="5"/>
    <x v="0"/>
    <x v="0"/>
    <x v="1"/>
  </r>
  <r>
    <x v="0"/>
    <s v="193-1312975-0-72"/>
    <s v="BCP"/>
    <s v="TRAN.CTAS.TERC.BM"/>
    <d v="2019-04-06T00:00:00"/>
    <n v="304"/>
    <n v="201904"/>
    <n v="3043195"/>
    <n v="304"/>
    <x v="0"/>
    <x v="5"/>
    <x v="0"/>
    <x v="0"/>
    <x v="1"/>
  </r>
  <r>
    <x v="1"/>
    <s v="041-3000106347"/>
    <s v="IBK"/>
    <s v="GOYA OSHIRO JOYSSI KAORI"/>
    <d v="2019-04-06T00:00:00"/>
    <n v="950"/>
    <n v="201904"/>
    <n v="3043241"/>
    <n v="3201.5"/>
    <x v="0"/>
    <x v="5"/>
    <x v="0"/>
    <x v="0"/>
    <x v="0"/>
  </r>
  <r>
    <x v="0"/>
    <s v="193-1312975-0-72"/>
    <s v="BCP"/>
    <s v="TRAN.CTAS.TERC.BM"/>
    <d v="2019-04-05T00:00:00"/>
    <n v="240"/>
    <n v="201904"/>
    <n v="3042755"/>
    <n v="240"/>
    <x v="0"/>
    <x v="5"/>
    <x v="0"/>
    <x v="0"/>
    <x v="1"/>
  </r>
  <r>
    <x v="0"/>
    <s v="193-1312975-0-72"/>
    <s v="BCP"/>
    <s v="ENTR.EFEC. 0171647"/>
    <d v="2019-04-05T00:00:00"/>
    <n v="140"/>
    <n v="201904"/>
    <n v="3042634"/>
    <n v="140"/>
    <x v="0"/>
    <x v="5"/>
    <x v="0"/>
    <x v="0"/>
    <x v="1"/>
  </r>
  <r>
    <x v="0"/>
    <s v="193-1312975-0-72"/>
    <s v="BCP"/>
    <s v="TRAN.CTAS.TERC.BM"/>
    <d v="2019-04-05T00:00:00"/>
    <n v="7801.92"/>
    <n v="201904"/>
    <n v="3042052"/>
    <n v="7801.92"/>
    <x v="0"/>
    <x v="5"/>
    <x v="0"/>
    <x v="0"/>
    <x v="1"/>
  </r>
  <r>
    <x v="0"/>
    <s v="193-1312975-0-72"/>
    <s v="BCP"/>
    <s v="TRA O/CTA - AGENTE"/>
    <d v="2019-04-05T00:00:00"/>
    <n v="82"/>
    <n v="201904"/>
    <n v="3042313"/>
    <n v="82"/>
    <x v="0"/>
    <x v="5"/>
    <x v="0"/>
    <x v="0"/>
    <x v="1"/>
  </r>
  <r>
    <x v="0"/>
    <s v="193-1312975-0-72"/>
    <s v="BCP"/>
    <s v="DE 193-19393568-0"/>
    <d v="2019-04-05T00:00:00"/>
    <n v="270"/>
    <n v="201904"/>
    <n v="3042311"/>
    <n v="270"/>
    <x v="0"/>
    <x v="5"/>
    <x v="0"/>
    <x v="0"/>
    <x v="0"/>
  </r>
  <r>
    <x v="1"/>
    <s v="041-3000106347"/>
    <s v="IBK"/>
    <s v="GOYA OSHIRO JOYSSI KAORI"/>
    <d v="2019-04-05T00:00:00"/>
    <n v="950"/>
    <n v="201904"/>
    <n v="3043066"/>
    <n v="3201.5"/>
    <x v="0"/>
    <x v="5"/>
    <x v="0"/>
    <x v="0"/>
    <x v="0"/>
  </r>
  <r>
    <x v="1"/>
    <s v="041-3000106347"/>
    <s v="IBK"/>
    <s v="GOYA OSHIRO JOYSSI KAORI"/>
    <d v="2019-04-05T00:00:00"/>
    <n v="950"/>
    <n v="201904"/>
    <n v="3043065"/>
    <n v="3201.5"/>
    <x v="0"/>
    <x v="5"/>
    <x v="0"/>
    <x v="0"/>
    <x v="0"/>
  </r>
  <r>
    <x v="1"/>
    <s v="142-75-0200064790"/>
    <s v="BBVA"/>
    <s v="INGRESO EN EFECTIVO OF. EL PINO"/>
    <d v="2019-04-04T00:00:00"/>
    <n v="659.18"/>
    <n v="201904"/>
    <n v="3041578"/>
    <n v="2221.4366"/>
    <x v="0"/>
    <x v="5"/>
    <x v="0"/>
    <x v="0"/>
    <x v="1"/>
  </r>
  <r>
    <x v="1"/>
    <s v="193-1342935-1-08"/>
    <s v="BCP"/>
    <s v="TRAN.CTAS.TERC.BM"/>
    <d v="2019-04-04T00:00:00"/>
    <n v="250"/>
    <n v="201904"/>
    <n v="3041558"/>
    <n v="842.5"/>
    <x v="0"/>
    <x v="5"/>
    <x v="0"/>
    <x v="0"/>
    <x v="1"/>
  </r>
  <r>
    <x v="0"/>
    <s v="0661-63-0200043647"/>
    <s v="BBVA"/>
    <s v="MERY ANGELA ESCUDERO CHU"/>
    <d v="2019-04-04T00:00:00"/>
    <n v="100"/>
    <n v="201904"/>
    <n v="3041787"/>
    <n v="100"/>
    <x v="0"/>
    <x v="5"/>
    <x v="0"/>
    <x v="0"/>
    <x v="0"/>
  </r>
  <r>
    <x v="0"/>
    <s v="193-1312975-0-72"/>
    <s v="BCP"/>
    <s v="DE COOPERATIVA DE AHOR"/>
    <d v="2019-04-04T00:00:00"/>
    <n v="130"/>
    <n v="201904"/>
    <n v="3041739"/>
    <n v="130"/>
    <x v="0"/>
    <x v="5"/>
    <x v="0"/>
    <x v="0"/>
    <x v="0"/>
  </r>
  <r>
    <x v="1"/>
    <s v="100-0006236"/>
    <s v="BANBIF"/>
    <s v="R/T-R158634 KAIGAI NIKKEI SHIN"/>
    <d v="2019-04-04T00:00:00"/>
    <n v="456.25"/>
    <n v="201904"/>
    <n v="3041801"/>
    <n v="1537.5625"/>
    <x v="0"/>
    <x v="5"/>
    <x v="0"/>
    <x v="0"/>
    <x v="0"/>
  </r>
  <r>
    <x v="0"/>
    <s v="100-0006228"/>
    <s v="BANBIF"/>
    <s v="I/S-030419 I639165"/>
    <d v="2019-04-03T00:00:00"/>
    <n v="3000"/>
    <n v="201904"/>
    <n v="3041268"/>
    <n v="3000"/>
    <x v="0"/>
    <x v="5"/>
    <x v="0"/>
    <x v="0"/>
    <x v="1"/>
  </r>
  <r>
    <x v="0"/>
    <s v="193-1312975-0-72"/>
    <s v="BCP"/>
    <s v="TRAN.CTAS.TERC.BM"/>
    <d v="2019-04-03T00:00:00"/>
    <n v="100"/>
    <n v="201904"/>
    <n v="3040940"/>
    <n v="100"/>
    <x v="0"/>
    <x v="5"/>
    <x v="0"/>
    <x v="0"/>
    <x v="1"/>
  </r>
  <r>
    <x v="0"/>
    <s v="193-1312975-0-72"/>
    <s v="BCP"/>
    <s v="TRAN.CTAS.TERC.BM"/>
    <d v="2019-04-03T00:00:00"/>
    <n v="246"/>
    <n v="201904"/>
    <n v="3041353"/>
    <n v="246"/>
    <x v="0"/>
    <x v="5"/>
    <x v="0"/>
    <x v="0"/>
    <x v="1"/>
  </r>
  <r>
    <x v="0"/>
    <s v="044-460-0009-24"/>
    <s v="SCOTIA"/>
    <s v="RAMOS PACHECO, JORGE ANTONIO"/>
    <d v="2019-04-03T00:00:00"/>
    <n v="800"/>
    <n v="201904"/>
    <n v="3041504"/>
    <n v="800"/>
    <x v="0"/>
    <x v="5"/>
    <x v="0"/>
    <x v="0"/>
    <x v="0"/>
  </r>
  <r>
    <x v="1"/>
    <s v="193-1342935-1-08"/>
    <s v="BCP"/>
    <s v="DE CIRCOLO SPORTIVO IT"/>
    <d v="2019-04-03T00:00:00"/>
    <n v="143.94999999999999"/>
    <n v="201904"/>
    <n v="3041301"/>
    <n v="485.11149999999998"/>
    <x v="0"/>
    <x v="5"/>
    <x v="0"/>
    <x v="0"/>
    <x v="0"/>
  </r>
  <r>
    <x v="0"/>
    <s v="100-0006228"/>
    <s v="BANBIF"/>
    <s v="I/S-020419 I637139"/>
    <d v="2019-04-02T00:00:00"/>
    <n v="250"/>
    <n v="201904"/>
    <n v="3040921"/>
    <n v="250"/>
    <x v="0"/>
    <x v="5"/>
    <x v="0"/>
    <x v="0"/>
    <x v="1"/>
  </r>
  <r>
    <x v="0"/>
    <s v="193-1312975-0-72"/>
    <s v="BCP"/>
    <s v="ENTR.EFEC. 0004694"/>
    <d v="2019-04-02T00:00:00"/>
    <n v="81.599999999999994"/>
    <n v="201904"/>
    <n v="3040742"/>
    <n v="81.599999999999994"/>
    <x v="0"/>
    <x v="5"/>
    <x v="0"/>
    <x v="0"/>
    <x v="1"/>
  </r>
  <r>
    <x v="1"/>
    <s v="142-75-0200064790"/>
    <s v="BBVA"/>
    <s v="LORENA GUEVARA CORREA"/>
    <d v="2019-04-02T00:00:00"/>
    <n v="300"/>
    <n v="201904"/>
    <n v="3040917"/>
    <n v="1011"/>
    <x v="0"/>
    <x v="5"/>
    <x v="0"/>
    <x v="0"/>
    <x v="0"/>
  </r>
  <r>
    <x v="0"/>
    <s v="193-1312975-0-72"/>
    <s v="BCP"/>
    <s v="TRAN.CTAS.TERC.BM"/>
    <d v="2019-04-01T00:00:00"/>
    <n v="806"/>
    <n v="201904"/>
    <n v="3039609"/>
    <n v="806"/>
    <x v="0"/>
    <x v="5"/>
    <x v="0"/>
    <x v="0"/>
    <x v="1"/>
  </r>
  <r>
    <x v="1"/>
    <s v="193-1342935-1-08"/>
    <s v="BCP"/>
    <s v="ENTR.EFEC. 0994662"/>
    <d v="2019-04-01T00:00:00"/>
    <n v="50"/>
    <n v="201904"/>
    <n v="3039912"/>
    <n v="168.5"/>
    <x v="0"/>
    <x v="5"/>
    <x v="0"/>
    <x v="0"/>
    <x v="1"/>
  </r>
  <r>
    <x v="0"/>
    <s v="0661-63-0200043647"/>
    <s v="BBVA"/>
    <s v="INGRESO EN EFECTIVO G EFECTIVO REDE"/>
    <d v="2019-03-30T00:00:00"/>
    <n v="50"/>
    <n v="201903"/>
    <n v="3039320"/>
    <n v="50"/>
    <x v="0"/>
    <x v="6"/>
    <x v="0"/>
    <x v="0"/>
    <x v="1"/>
  </r>
  <r>
    <x v="0"/>
    <s v="0661-63-0200043647"/>
    <s v="BBVA"/>
    <s v="INGRESO EN EFECTIVO G EFECTIVO REDE"/>
    <d v="2019-03-30T00:00:00"/>
    <n v="100"/>
    <n v="201903"/>
    <n v="3039321"/>
    <n v="100"/>
    <x v="0"/>
    <x v="6"/>
    <x v="0"/>
    <x v="0"/>
    <x v="1"/>
  </r>
  <r>
    <x v="0"/>
    <s v="0661-63-0200043647"/>
    <s v="BBVA"/>
    <s v="INGRESO EN EFECTIVO G EFECTIVO REDE"/>
    <d v="2019-03-30T00:00:00"/>
    <n v="100"/>
    <n v="201903"/>
    <n v="3039482"/>
    <n v="100"/>
    <x v="0"/>
    <x v="6"/>
    <x v="0"/>
    <x v="0"/>
    <x v="1"/>
  </r>
  <r>
    <x v="0"/>
    <s v="193-1312975-0-72"/>
    <s v="BCP"/>
    <s v="TRA O/CTA - AGENTE"/>
    <d v="2019-03-30T00:00:00"/>
    <n v="100"/>
    <n v="201903"/>
    <n v="3039447"/>
    <n v="100"/>
    <x v="0"/>
    <x v="6"/>
    <x v="0"/>
    <x v="0"/>
    <x v="1"/>
  </r>
  <r>
    <x v="0"/>
    <s v="193-1312975-0-72"/>
    <s v="BCP"/>
    <s v="TRAN.CTAS.TERC.BM"/>
    <d v="2019-03-30T00:00:00"/>
    <n v="400"/>
    <n v="201903"/>
    <n v="3039303"/>
    <n v="400"/>
    <x v="0"/>
    <x v="6"/>
    <x v="0"/>
    <x v="0"/>
    <x v="1"/>
  </r>
  <r>
    <x v="0"/>
    <s v="100-0006228"/>
    <s v="BANBIF"/>
    <s v="I/S-290319 I615116"/>
    <d v="2019-03-29T00:00:00"/>
    <n v="10000"/>
    <n v="201903"/>
    <n v="3039214"/>
    <n v="10000"/>
    <x v="0"/>
    <x v="6"/>
    <x v="0"/>
    <x v="0"/>
    <x v="1"/>
  </r>
  <r>
    <x v="0"/>
    <s v="193-1312975-0-72"/>
    <s v="BCP"/>
    <s v="TRAN.CTAS.TERC.BM"/>
    <d v="2019-03-29T00:00:00"/>
    <n v="780"/>
    <n v="201903"/>
    <n v="3039146"/>
    <n v="780"/>
    <x v="0"/>
    <x v="6"/>
    <x v="0"/>
    <x v="0"/>
    <x v="1"/>
  </r>
  <r>
    <x v="1"/>
    <s v="193-1342935-1-08"/>
    <s v="BCP"/>
    <s v="ENTREGA C/CHEQUES FUE"/>
    <d v="2019-03-29T00:00:00"/>
    <n v="2856.5"/>
    <n v="201903"/>
    <n v="3038332"/>
    <n v="9626.4050000000007"/>
    <x v="0"/>
    <x v="6"/>
    <x v="0"/>
    <x v="0"/>
    <x v="1"/>
  </r>
  <r>
    <x v="0"/>
    <s v="193-1312975-0-72"/>
    <s v="BCP"/>
    <s v="TRAN.CTAS.TERC.BM"/>
    <d v="2019-03-28T00:00:00"/>
    <n v="318"/>
    <n v="201903"/>
    <n v="3038266"/>
    <n v="318"/>
    <x v="0"/>
    <x v="6"/>
    <x v="0"/>
    <x v="0"/>
    <x v="1"/>
  </r>
  <r>
    <x v="0"/>
    <s v="193-1312975-0-72"/>
    <s v="BCP"/>
    <s v="TRA O/CTA SOL ATM"/>
    <d v="2019-03-28T00:00:00"/>
    <n v="205"/>
    <n v="201903"/>
    <n v="3038273"/>
    <n v="205"/>
    <x v="0"/>
    <x v="6"/>
    <x v="0"/>
    <x v="0"/>
    <x v="1"/>
  </r>
  <r>
    <x v="1"/>
    <s v="193-1342935-1-08"/>
    <s v="BCP"/>
    <s v="TRAN.CTAS.TERC.HK"/>
    <d v="2019-03-28T00:00:00"/>
    <n v="2.96"/>
    <n v="201903"/>
    <n v="3038195"/>
    <n v="9.975200000000001"/>
    <x v="0"/>
    <x v="6"/>
    <x v="0"/>
    <x v="0"/>
    <x v="1"/>
  </r>
  <r>
    <x v="0"/>
    <s v="0661-63-0200043647"/>
    <s v="BBVA"/>
    <s v="*BATTISTINI RIERA RAYMI DEL CARMEN"/>
    <d v="2019-03-28T00:00:00"/>
    <n v="1.1599999999999999"/>
    <n v="201903"/>
    <n v="3038288"/>
    <n v="1.1599999999999999"/>
    <x v="0"/>
    <x v="6"/>
    <x v="0"/>
    <x v="0"/>
    <x v="0"/>
  </r>
  <r>
    <x v="0"/>
    <s v="193-1312975-0-72"/>
    <s v="BCP"/>
    <s v="TRAN.CTAS.TERC.BM"/>
    <d v="2019-03-26T00:00:00"/>
    <n v="594"/>
    <n v="201903"/>
    <n v="3036647"/>
    <n v="594"/>
    <x v="0"/>
    <x v="6"/>
    <x v="0"/>
    <x v="0"/>
    <x v="1"/>
  </r>
  <r>
    <x v="0"/>
    <s v="193-1312975-0-72"/>
    <s v="BCP"/>
    <s v="ENTR.EFEC. 0427396"/>
    <d v="2019-03-25T00:00:00"/>
    <n v="79.2"/>
    <n v="201903"/>
    <n v="3036039"/>
    <n v="79.2"/>
    <x v="0"/>
    <x v="6"/>
    <x v="0"/>
    <x v="0"/>
    <x v="1"/>
  </r>
  <r>
    <x v="0"/>
    <s v="193-1312975-0-72"/>
    <s v="BCP"/>
    <s v="TRAN.CTAS.TERC.HK"/>
    <d v="2019-03-25T00:00:00"/>
    <n v="189.32"/>
    <n v="201903"/>
    <n v="3036187"/>
    <n v="189.32"/>
    <x v="0"/>
    <x v="6"/>
    <x v="0"/>
    <x v="0"/>
    <x v="1"/>
  </r>
  <r>
    <x v="0"/>
    <s v="193-1312975-0-72"/>
    <s v="BCP"/>
    <s v="TRAN.CTAS.TERC.BM"/>
    <d v="2019-03-22T00:00:00"/>
    <n v="396"/>
    <n v="201903"/>
    <n v="3035500"/>
    <n v="396"/>
    <x v="0"/>
    <x v="6"/>
    <x v="0"/>
    <x v="0"/>
    <x v="1"/>
  </r>
  <r>
    <x v="1"/>
    <s v="193-1342935-1-08"/>
    <s v="BCP"/>
    <s v="DE COOPERATIVA DE AHOR"/>
    <d v="2019-03-22T00:00:00"/>
    <n v="0.03"/>
    <n v="201903"/>
    <n v="3035436"/>
    <n v="0.1011"/>
    <x v="0"/>
    <x v="6"/>
    <x v="0"/>
    <x v="0"/>
    <x v="0"/>
  </r>
  <r>
    <x v="0"/>
    <s v="0661-63-0200043647"/>
    <s v="BBVA"/>
    <s v="AA OFICINA CHAMA"/>
    <d v="2019-03-21T00:00:00"/>
    <n v="1000"/>
    <n v="201903"/>
    <n v="3034701"/>
    <n v="1000"/>
    <x v="0"/>
    <x v="6"/>
    <x v="0"/>
    <x v="0"/>
    <x v="1"/>
  </r>
  <r>
    <x v="0"/>
    <s v="193-1312975-0-72"/>
    <s v="BCP"/>
    <s v="TRAN.CTAS.TERC.BM"/>
    <d v="2019-03-21T00:00:00"/>
    <n v="424"/>
    <n v="201903"/>
    <n v="3034870"/>
    <n v="424"/>
    <x v="0"/>
    <x v="6"/>
    <x v="0"/>
    <x v="0"/>
    <x v="1"/>
  </r>
  <r>
    <x v="0"/>
    <s v="0661-63-0200043647"/>
    <s v="BBVA"/>
    <s v="PAOLA PIERINA LAZARTE CASTILLO"/>
    <d v="2019-03-21T00:00:00"/>
    <n v="641"/>
    <n v="201903"/>
    <n v="3034982"/>
    <n v="641"/>
    <x v="0"/>
    <x v="6"/>
    <x v="0"/>
    <x v="0"/>
    <x v="0"/>
  </r>
  <r>
    <x v="0"/>
    <s v="044-460-0009-24"/>
    <s v="SCOTIA"/>
    <s v="RAMOS PACHECO, JORGE ANTONIO"/>
    <d v="2019-03-20T00:00:00"/>
    <n v="250"/>
    <n v="201903"/>
    <n v="3034440"/>
    <n v="250"/>
    <x v="0"/>
    <x v="6"/>
    <x v="0"/>
    <x v="0"/>
    <x v="0"/>
  </r>
  <r>
    <x v="0"/>
    <s v="0661-63-0200043647"/>
    <s v="BBVA"/>
    <s v="MERCEDES YANINA TORRES BAZAN"/>
    <d v="2019-03-20T00:00:00"/>
    <n v="6"/>
    <n v="201903"/>
    <n v="3034203"/>
    <n v="6"/>
    <x v="0"/>
    <x v="6"/>
    <x v="0"/>
    <x v="0"/>
    <x v="0"/>
  </r>
  <r>
    <x v="0"/>
    <s v="193-1312975-0-72"/>
    <s v="BCP"/>
    <s v="ENTR.EFEC. 0984195"/>
    <d v="2019-03-18T00:00:00"/>
    <n v="2533.91"/>
    <n v="201903"/>
    <n v="3033066"/>
    <n v="2533.91"/>
    <x v="0"/>
    <x v="6"/>
    <x v="0"/>
    <x v="0"/>
    <x v="1"/>
  </r>
  <r>
    <x v="1"/>
    <s v="193-1342935-1-08"/>
    <s v="BCP"/>
    <s v="TRAN.CTAS.TERC.HK"/>
    <d v="2019-03-18T00:00:00"/>
    <n v="50"/>
    <n v="201903"/>
    <n v="3033160"/>
    <n v="168.5"/>
    <x v="0"/>
    <x v="6"/>
    <x v="0"/>
    <x v="0"/>
    <x v="1"/>
  </r>
  <r>
    <x v="0"/>
    <s v="193-1312975-0-72"/>
    <s v="BCP"/>
    <s v="DE GRANJA AVICOLA LAS"/>
    <d v="2019-03-16T00:00:00"/>
    <n v="575"/>
    <n v="201903"/>
    <n v="3032782"/>
    <n v="575"/>
    <x v="0"/>
    <x v="6"/>
    <x v="0"/>
    <x v="0"/>
    <x v="0"/>
  </r>
  <r>
    <x v="0"/>
    <s v="193-1312975-0-72"/>
    <s v="BCP"/>
    <s v="DE GRANJA AVICOLA SYM"/>
    <d v="2019-03-16T00:00:00"/>
    <n v="575"/>
    <n v="201903"/>
    <n v="3032784"/>
    <n v="575"/>
    <x v="0"/>
    <x v="6"/>
    <x v="0"/>
    <x v="0"/>
    <x v="0"/>
  </r>
  <r>
    <x v="0"/>
    <s v="193-1312975-0-72"/>
    <s v="BCP"/>
    <s v="DE GRANJA AVICOLA SEIK"/>
    <d v="2019-03-16T00:00:00"/>
    <n v="575"/>
    <n v="201903"/>
    <n v="3032785"/>
    <n v="575"/>
    <x v="0"/>
    <x v="6"/>
    <x v="0"/>
    <x v="0"/>
    <x v="0"/>
  </r>
  <r>
    <x v="1"/>
    <s v="01-044-460-0006-21"/>
    <s v="SCOTIA"/>
    <s v="DEPOSITO EN EFECTIVO"/>
    <d v="2019-03-15T00:00:00"/>
    <n v="5500"/>
    <n v="201903"/>
    <n v="3032061"/>
    <n v="18535"/>
    <x v="0"/>
    <x v="6"/>
    <x v="0"/>
    <x v="0"/>
    <x v="1"/>
  </r>
  <r>
    <x v="0"/>
    <s v="193-1312975-0-72"/>
    <s v="BCP"/>
    <s v="TRAN.CTAS.TERC.BM"/>
    <d v="2019-03-15T00:00:00"/>
    <n v="608"/>
    <n v="201903"/>
    <n v="3032191"/>
    <n v="608"/>
    <x v="0"/>
    <x v="6"/>
    <x v="0"/>
    <x v="0"/>
    <x v="1"/>
  </r>
  <r>
    <x v="0"/>
    <s v="193-1312975-0-72"/>
    <s v="BCP"/>
    <s v="TRAN.CTAS.TERC.BM"/>
    <d v="2019-03-15T00:00:00"/>
    <n v="6"/>
    <n v="201903"/>
    <n v="3031902"/>
    <n v="6"/>
    <x v="0"/>
    <x v="6"/>
    <x v="0"/>
    <x v="0"/>
    <x v="1"/>
  </r>
  <r>
    <x v="0"/>
    <s v="193-1312975-0-72"/>
    <s v="BCP"/>
    <s v="TRA O/CTA - AGENTE"/>
    <d v="2019-03-15T00:00:00"/>
    <n v="1"/>
    <n v="201903"/>
    <n v="3032038"/>
    <n v="1"/>
    <x v="0"/>
    <x v="6"/>
    <x v="0"/>
    <x v="0"/>
    <x v="1"/>
  </r>
  <r>
    <x v="1"/>
    <s v="193-1342935-1-08"/>
    <s v="BCP"/>
    <s v="TRAN.CTAS.TERC.HK"/>
    <d v="2019-03-15T00:00:00"/>
    <n v="456.38"/>
    <n v="201903"/>
    <n v="3032043"/>
    <n v="1538.0006000000001"/>
    <x v="0"/>
    <x v="6"/>
    <x v="0"/>
    <x v="0"/>
    <x v="1"/>
  </r>
  <r>
    <x v="0"/>
    <s v="041-3000106330"/>
    <s v="IBK"/>
    <s v="MENDOZA ESPEJO FIORELA DIANA"/>
    <d v="2019-03-15T00:00:00"/>
    <n v="6"/>
    <n v="201903"/>
    <n v="3031905"/>
    <n v="6"/>
    <x v="0"/>
    <x v="6"/>
    <x v="0"/>
    <x v="0"/>
    <x v="0"/>
  </r>
  <r>
    <x v="0"/>
    <s v="044-460-0009-24"/>
    <s v="SCOTIA"/>
    <s v="RAMOS PACHECO, JORGE ANTONIO"/>
    <d v="2019-03-15T00:00:00"/>
    <n v="800"/>
    <n v="201903"/>
    <n v="3031773"/>
    <n v="800"/>
    <x v="0"/>
    <x v="6"/>
    <x v="0"/>
    <x v="0"/>
    <x v="0"/>
  </r>
  <r>
    <x v="0"/>
    <s v="0661-63-0200043647"/>
    <s v="BBVA"/>
    <s v="INGRESO EN EFECTIVO C.C.FIORI"/>
    <d v="2019-03-14T00:00:00"/>
    <n v="280"/>
    <n v="201903"/>
    <n v="3031780"/>
    <n v="280"/>
    <x v="0"/>
    <x v="6"/>
    <x v="0"/>
    <x v="0"/>
    <x v="1"/>
  </r>
  <r>
    <x v="0"/>
    <s v="193-1312975-0-72"/>
    <s v="BCP"/>
    <s v="TRA O/CTA - AGENTE"/>
    <d v="2019-03-13T00:00:00"/>
    <n v="355.2"/>
    <n v="201903"/>
    <n v="3030925"/>
    <n v="355.2"/>
    <x v="0"/>
    <x v="6"/>
    <x v="0"/>
    <x v="0"/>
    <x v="1"/>
  </r>
  <r>
    <x v="0"/>
    <s v="193-1312975-0-72"/>
    <s v="BCP"/>
    <s v="TRAN.CTAS.TERC.BM"/>
    <d v="2019-03-12T00:00:00"/>
    <n v="10"/>
    <n v="201903"/>
    <n v="3030357"/>
    <n v="10"/>
    <x v="0"/>
    <x v="6"/>
    <x v="0"/>
    <x v="0"/>
    <x v="1"/>
  </r>
  <r>
    <x v="1"/>
    <s v="193-1342935-1-08"/>
    <s v="BCP"/>
    <s v="ENTR.EFEC. 0925809"/>
    <d v="2019-03-11T00:00:00"/>
    <n v="75.08"/>
    <n v="201903"/>
    <n v="3030032"/>
    <n v="253.0196"/>
    <x v="0"/>
    <x v="6"/>
    <x v="0"/>
    <x v="0"/>
    <x v="1"/>
  </r>
  <r>
    <x v="0"/>
    <s v="193-1312975-0-72"/>
    <s v="BCP"/>
    <s v="TRAN.CTAS.TERC.BM"/>
    <d v="2019-03-09T00:00:00"/>
    <n v="912"/>
    <n v="201903"/>
    <n v="3029682"/>
    <n v="912"/>
    <x v="0"/>
    <x v="6"/>
    <x v="0"/>
    <x v="0"/>
    <x v="1"/>
  </r>
  <r>
    <x v="0"/>
    <s v="193-1312975-0-72"/>
    <s v="BCP"/>
    <s v="TRAN.CTAS.TERC.BM"/>
    <d v="2019-03-09T00:00:00"/>
    <n v="4000"/>
    <n v="201903"/>
    <n v="3029715"/>
    <n v="4000"/>
    <x v="0"/>
    <x v="6"/>
    <x v="0"/>
    <x v="0"/>
    <x v="1"/>
  </r>
  <r>
    <x v="0"/>
    <s v="193-1312975-0-72"/>
    <s v="BCP"/>
    <s v="TRAN.CTAS.TERC.BM"/>
    <d v="2019-03-08T00:00:00"/>
    <n v="600"/>
    <n v="201903"/>
    <n v="3029390"/>
    <n v="600"/>
    <x v="0"/>
    <x v="6"/>
    <x v="0"/>
    <x v="0"/>
    <x v="1"/>
  </r>
  <r>
    <x v="0"/>
    <s v="193-1312975-0-72"/>
    <s v="BCP"/>
    <s v="TRAN.CTAS.TERC.BM"/>
    <d v="2019-03-08T00:00:00"/>
    <n v="420"/>
    <n v="201903"/>
    <n v="3029567"/>
    <n v="420"/>
    <x v="0"/>
    <x v="6"/>
    <x v="0"/>
    <x v="0"/>
    <x v="1"/>
  </r>
  <r>
    <x v="0"/>
    <s v="041-3000106330"/>
    <s v="IBK"/>
    <s v="QUEZADA BARRIOS FRANCISCO JAVI"/>
    <d v="2019-03-08T00:00:00"/>
    <n v="280"/>
    <n v="201903"/>
    <n v="3029634"/>
    <n v="280"/>
    <x v="0"/>
    <x v="6"/>
    <x v="0"/>
    <x v="0"/>
    <x v="0"/>
  </r>
  <r>
    <x v="0"/>
    <s v="0661-63-0200043647"/>
    <s v="BBVA"/>
    <s v="*TORRES FLORES GIANCARLO"/>
    <d v="2019-03-08T00:00:00"/>
    <n v="5"/>
    <n v="201903"/>
    <n v="3029630"/>
    <n v="5"/>
    <x v="0"/>
    <x v="6"/>
    <x v="0"/>
    <x v="0"/>
    <x v="0"/>
  </r>
  <r>
    <x v="0"/>
    <s v="0661-63-0200043647"/>
    <s v="BBVA"/>
    <s v="CLAUDIA CAROLINA GOMEZ SALINAS"/>
    <d v="2019-03-08T00:00:00"/>
    <n v="191.41"/>
    <n v="201903"/>
    <n v="3029632"/>
    <n v="191.41"/>
    <x v="0"/>
    <x v="6"/>
    <x v="0"/>
    <x v="0"/>
    <x v="0"/>
  </r>
  <r>
    <x v="0"/>
    <s v="041-3000106330"/>
    <s v="IBK"/>
    <s v="DEP. EFECTIVO"/>
    <d v="2019-03-07T00:00:00"/>
    <n v="800"/>
    <n v="201903"/>
    <n v="3028934"/>
    <n v="800"/>
    <x v="0"/>
    <x v="6"/>
    <x v="0"/>
    <x v="0"/>
    <x v="1"/>
  </r>
  <r>
    <x v="0"/>
    <s v="193-1312975-0-72"/>
    <s v="BCP"/>
    <s v="ENTR.EFEC. 0623004"/>
    <d v="2019-03-07T00:00:00"/>
    <n v="800"/>
    <n v="201903"/>
    <n v="3028723"/>
    <n v="800"/>
    <x v="0"/>
    <x v="6"/>
    <x v="0"/>
    <x v="0"/>
    <x v="1"/>
  </r>
  <r>
    <x v="0"/>
    <s v="193-1312975-0-72"/>
    <s v="BCP"/>
    <s v="TRAN.CTAS.TERC.BM"/>
    <d v="2019-03-06T00:00:00"/>
    <n v="140"/>
    <n v="201903"/>
    <n v="3028099"/>
    <n v="140"/>
    <x v="0"/>
    <x v="6"/>
    <x v="0"/>
    <x v="0"/>
    <x v="1"/>
  </r>
  <r>
    <x v="0"/>
    <s v="193-1312975-0-72"/>
    <s v="BCP"/>
    <s v="TRAN.CTAS.TERC.HK"/>
    <d v="2019-03-06T00:00:00"/>
    <n v="10"/>
    <n v="201903"/>
    <n v="3028506"/>
    <n v="10"/>
    <x v="0"/>
    <x v="6"/>
    <x v="0"/>
    <x v="0"/>
    <x v="1"/>
  </r>
  <r>
    <x v="1"/>
    <s v="193-1342935-1-08"/>
    <s v="BCP"/>
    <s v="TRAN.CTAS.TERC.BM"/>
    <d v="2019-03-06T00:00:00"/>
    <n v="250"/>
    <n v="201903"/>
    <n v="3028526"/>
    <n v="842.5"/>
    <x v="0"/>
    <x v="6"/>
    <x v="0"/>
    <x v="0"/>
    <x v="1"/>
  </r>
  <r>
    <x v="0"/>
    <s v="193-1312975-0-72"/>
    <s v="BCP"/>
    <s v="TRAN.CTAS.TERC.HK"/>
    <d v="2019-03-05T00:00:00"/>
    <n v="500"/>
    <n v="201903"/>
    <n v="3027403"/>
    <n v="500"/>
    <x v="0"/>
    <x v="6"/>
    <x v="0"/>
    <x v="0"/>
    <x v="1"/>
  </r>
  <r>
    <x v="1"/>
    <s v="142-75-0200064790"/>
    <s v="BBVA"/>
    <s v="INGRESO EN EFECTIVO OF.JOCKEY PLAZA"/>
    <d v="2019-03-05T00:00:00"/>
    <n v="744.7"/>
    <n v="201903"/>
    <n v="3027917"/>
    <n v="2509.6390000000001"/>
    <x v="0"/>
    <x v="6"/>
    <x v="0"/>
    <x v="0"/>
    <x v="1"/>
  </r>
  <r>
    <x v="1"/>
    <s v="193-1342935-1-08"/>
    <s v="BCP"/>
    <s v="TRAN.CTAS.TERC.BM"/>
    <d v="2019-03-05T00:00:00"/>
    <n v="150"/>
    <n v="201903"/>
    <n v="3027205"/>
    <n v="505.5"/>
    <x v="0"/>
    <x v="6"/>
    <x v="0"/>
    <x v="0"/>
    <x v="1"/>
  </r>
  <r>
    <x v="0"/>
    <s v="193-1312975-0-72"/>
    <s v="BCP"/>
    <s v="ENTR.EFEC. 0169902"/>
    <d v="2019-03-04T00:00:00"/>
    <n v="300"/>
    <n v="201903"/>
    <n v="3026890"/>
    <n v="300"/>
    <x v="0"/>
    <x v="6"/>
    <x v="0"/>
    <x v="0"/>
    <x v="1"/>
  </r>
  <r>
    <x v="0"/>
    <s v="0661-63-0200043647"/>
    <s v="BBVA"/>
    <s v="*TRUJILLO AYLLON JOSELINE STEFANY"/>
    <d v="2019-03-04T00:00:00"/>
    <n v="79"/>
    <n v="201903"/>
    <n v="3026572"/>
    <n v="79"/>
    <x v="0"/>
    <x v="6"/>
    <x v="0"/>
    <x v="0"/>
    <x v="0"/>
  </r>
  <r>
    <x v="0"/>
    <s v="193-1312975-0-72"/>
    <s v="BCP"/>
    <s v="TRAN.CTAS.TERC.BM"/>
    <d v="2019-03-03T00:00:00"/>
    <n v="200"/>
    <n v="201903"/>
    <n v="3026426"/>
    <n v="200"/>
    <x v="0"/>
    <x v="6"/>
    <x v="0"/>
    <x v="0"/>
    <x v="1"/>
  </r>
  <r>
    <x v="0"/>
    <s v="193-1312975-0-72"/>
    <s v="BCP"/>
    <s v="TRAN.CTAS.TERC.BM"/>
    <d v="2019-03-02T00:00:00"/>
    <n v="396"/>
    <n v="201903"/>
    <n v="3026413"/>
    <n v="396"/>
    <x v="0"/>
    <x v="6"/>
    <x v="0"/>
    <x v="0"/>
    <x v="1"/>
  </r>
  <r>
    <x v="0"/>
    <s v="193-1312975-0-72"/>
    <s v="BCP"/>
    <s v="ENTR.EFEC. 0795387"/>
    <d v="2019-03-01T00:00:00"/>
    <n v="440"/>
    <n v="201903"/>
    <n v="3025585"/>
    <n v="440"/>
    <x v="0"/>
    <x v="6"/>
    <x v="0"/>
    <x v="0"/>
    <x v="1"/>
  </r>
  <r>
    <x v="1"/>
    <s v="193-1342935-1-08"/>
    <s v="BCP"/>
    <s v="ENTREGA C/CHEQUES FUE"/>
    <d v="2019-03-01T00:00:00"/>
    <n v="2579.64"/>
    <n v="201903"/>
    <n v="3025601"/>
    <n v="8693.3868000000002"/>
    <x v="0"/>
    <x v="6"/>
    <x v="0"/>
    <x v="0"/>
    <x v="1"/>
  </r>
  <r>
    <x v="1"/>
    <s v="193-1342935-1-08"/>
    <s v="BCP"/>
    <s v="ENTR.EFEC. 0157013"/>
    <d v="2019-03-01T00:00:00"/>
    <n v="50"/>
    <n v="201903"/>
    <n v="3025828"/>
    <n v="168.5"/>
    <x v="0"/>
    <x v="6"/>
    <x v="0"/>
    <x v="0"/>
    <x v="1"/>
  </r>
  <r>
    <x v="0"/>
    <s v="193-1312975-0-72"/>
    <s v="BCP"/>
    <s v="TRAN.CTAS.TERC.BM"/>
    <d v="2019-02-28T00:00:00"/>
    <n v="693.41"/>
    <n v="201902"/>
    <n v="3024792"/>
    <n v="693.41"/>
    <x v="0"/>
    <x v="7"/>
    <x v="0"/>
    <x v="0"/>
    <x v="1"/>
  </r>
  <r>
    <x v="0"/>
    <s v="193-1312975-0-72"/>
    <s v="BCP"/>
    <s v="TRAN.CTAS.TERC.BM"/>
    <d v="2019-02-28T00:00:00"/>
    <n v="3400"/>
    <n v="201902"/>
    <n v="3025333"/>
    <n v="3400"/>
    <x v="0"/>
    <x v="7"/>
    <x v="0"/>
    <x v="0"/>
    <x v="1"/>
  </r>
  <r>
    <x v="0"/>
    <s v="193-1312975-0-72"/>
    <s v="BCP"/>
    <s v="ENTR.EFEC. 0671031"/>
    <d v="2019-02-27T00:00:00"/>
    <n v="1700"/>
    <n v="201902"/>
    <n v="3024543"/>
    <n v="1700"/>
    <x v="0"/>
    <x v="7"/>
    <x v="0"/>
    <x v="0"/>
    <x v="1"/>
  </r>
  <r>
    <x v="0"/>
    <s v="193-1312975-0-72"/>
    <s v="BCP"/>
    <s v="ENTR.EFEC. 0721396"/>
    <d v="2019-02-26T00:00:00"/>
    <n v="320.8"/>
    <n v="201902"/>
    <n v="3023981"/>
    <n v="320.8"/>
    <x v="0"/>
    <x v="7"/>
    <x v="0"/>
    <x v="0"/>
    <x v="1"/>
  </r>
  <r>
    <x v="0"/>
    <s v="193-1312975-0-72"/>
    <s v="BCP"/>
    <s v="TRA O/CTA - AGENTE"/>
    <d v="2019-02-25T00:00:00"/>
    <n v="150"/>
    <n v="201902"/>
    <n v="3023026"/>
    <n v="150"/>
    <x v="0"/>
    <x v="7"/>
    <x v="0"/>
    <x v="0"/>
    <x v="1"/>
  </r>
  <r>
    <x v="0"/>
    <s v="041-3000106330"/>
    <s v="IBK"/>
    <s v="LLOCLLA TUANAMA SUSAN MAGALLY"/>
    <d v="2019-02-25T00:00:00"/>
    <n v="10"/>
    <n v="201902"/>
    <n v="3023510"/>
    <n v="10"/>
    <x v="0"/>
    <x v="7"/>
    <x v="0"/>
    <x v="0"/>
    <x v="0"/>
  </r>
  <r>
    <x v="0"/>
    <s v="193-1312975-0-72"/>
    <s v="BCP"/>
    <s v="TRAN.CTAS.TERC.BM"/>
    <d v="2019-02-23T00:00:00"/>
    <n v="360"/>
    <n v="201902"/>
    <n v="3022838"/>
    <n v="360"/>
    <x v="0"/>
    <x v="7"/>
    <x v="0"/>
    <x v="0"/>
    <x v="1"/>
  </r>
  <r>
    <x v="0"/>
    <s v="193-1312975-0-72"/>
    <s v="BCP"/>
    <s v="TRAN.CTAS.TERC.BM"/>
    <d v="2019-02-23T00:00:00"/>
    <n v="14"/>
    <n v="201902"/>
    <n v="3022754"/>
    <n v="14"/>
    <x v="0"/>
    <x v="7"/>
    <x v="0"/>
    <x v="0"/>
    <x v="1"/>
  </r>
  <r>
    <x v="0"/>
    <s v="193-1312975-0-72"/>
    <s v="BCP"/>
    <s v="ENTR.EFEC. 0383592"/>
    <d v="2019-02-22T00:00:00"/>
    <n v="309.11"/>
    <n v="201902"/>
    <n v="3022420"/>
    <n v="309.11"/>
    <x v="0"/>
    <x v="7"/>
    <x v="0"/>
    <x v="0"/>
    <x v="1"/>
  </r>
  <r>
    <x v="0"/>
    <s v="193-1312975-0-72"/>
    <s v="BCP"/>
    <s v="TRAN.CTAS.TERC.HK"/>
    <d v="2019-02-22T00:00:00"/>
    <n v="250"/>
    <n v="201902"/>
    <n v="3022422"/>
    <n v="250"/>
    <x v="0"/>
    <x v="7"/>
    <x v="0"/>
    <x v="0"/>
    <x v="1"/>
  </r>
  <r>
    <x v="0"/>
    <s v="193-1312975-0-72"/>
    <s v="BCP"/>
    <s v="TRA O/CTA SOL ATM"/>
    <d v="2019-02-22T00:00:00"/>
    <n v="250"/>
    <n v="201902"/>
    <n v="3022096"/>
    <n v="250"/>
    <x v="0"/>
    <x v="7"/>
    <x v="0"/>
    <x v="0"/>
    <x v="1"/>
  </r>
  <r>
    <x v="0"/>
    <s v="193-1312975-0-72"/>
    <s v="BCP"/>
    <s v="ENTR.EFEC. 0596526"/>
    <d v="2019-02-21T00:00:00"/>
    <n v="110"/>
    <n v="201902"/>
    <n v="3021872"/>
    <n v="110"/>
    <x v="0"/>
    <x v="7"/>
    <x v="0"/>
    <x v="0"/>
    <x v="1"/>
  </r>
  <r>
    <x v="1"/>
    <s v="193-1342935-1-08"/>
    <s v="BCP"/>
    <s v="ENTR.EFEC. 0922737"/>
    <d v="2019-02-20T00:00:00"/>
    <n v="55"/>
    <n v="201902"/>
    <n v="3021239"/>
    <n v="185.35"/>
    <x v="0"/>
    <x v="7"/>
    <x v="0"/>
    <x v="0"/>
    <x v="1"/>
  </r>
  <r>
    <x v="1"/>
    <s v="193-1342935-1-08"/>
    <s v="BCP"/>
    <s v="DE FUEL LOGISTICS SOCI"/>
    <d v="2019-02-20T00:00:00"/>
    <n v="3"/>
    <n v="201902"/>
    <n v="3021241"/>
    <n v="10.11"/>
    <x v="0"/>
    <x v="7"/>
    <x v="0"/>
    <x v="0"/>
    <x v="0"/>
  </r>
  <r>
    <x v="0"/>
    <s v="193-1312975-0-72"/>
    <s v="BCP"/>
    <s v="TRAN.CTAS.TERC.HK"/>
    <d v="2019-02-18T00:00:00"/>
    <n v="360"/>
    <n v="201902"/>
    <n v="3019653"/>
    <n v="360"/>
    <x v="0"/>
    <x v="7"/>
    <x v="0"/>
    <x v="0"/>
    <x v="1"/>
  </r>
  <r>
    <x v="0"/>
    <s v="0661-63-0200043647"/>
    <s v="BBVA"/>
    <s v="*URUMA NAGATOME ALDO JUAN"/>
    <d v="2019-02-18T00:00:00"/>
    <n v="10000"/>
    <n v="201902"/>
    <n v="3019771"/>
    <n v="10000"/>
    <x v="0"/>
    <x v="7"/>
    <x v="0"/>
    <x v="0"/>
    <x v="0"/>
  </r>
  <r>
    <x v="0"/>
    <s v="0661-63-0200043647"/>
    <s v="BBVA"/>
    <s v="MARIA DEL CARMEN PORTILLO BROUSSET"/>
    <d v="2019-02-18T00:00:00"/>
    <n v="120"/>
    <n v="201902"/>
    <n v="3020251"/>
    <n v="120"/>
    <x v="0"/>
    <x v="7"/>
    <x v="0"/>
    <x v="0"/>
    <x v="0"/>
  </r>
  <r>
    <x v="0"/>
    <s v="193-1312975-0-72"/>
    <s v="BCP"/>
    <s v="ENTR.EFEC. 0654593"/>
    <d v="2019-02-15T00:00:00"/>
    <n v="300"/>
    <n v="201902"/>
    <n v="3018776"/>
    <n v="300"/>
    <x v="0"/>
    <x v="7"/>
    <x v="0"/>
    <x v="0"/>
    <x v="1"/>
  </r>
  <r>
    <x v="0"/>
    <s v="193-1312975-0-72"/>
    <s v="BCP"/>
    <s v="TRAN.CTAS.TERC.BM"/>
    <d v="2019-02-15T00:00:00"/>
    <n v="250"/>
    <n v="201902"/>
    <n v="3019254"/>
    <n v="250"/>
    <x v="0"/>
    <x v="7"/>
    <x v="0"/>
    <x v="0"/>
    <x v="1"/>
  </r>
  <r>
    <x v="0"/>
    <s v="193-1312975-0-72"/>
    <s v="BCP"/>
    <s v="TRAN.CTAS.TERC.HK"/>
    <d v="2019-02-14T00:00:00"/>
    <n v="120"/>
    <n v="201902"/>
    <n v="3018493"/>
    <n v="120"/>
    <x v="0"/>
    <x v="7"/>
    <x v="0"/>
    <x v="0"/>
    <x v="1"/>
  </r>
  <r>
    <x v="0"/>
    <s v="193-1312975-0-72"/>
    <s v="BCP"/>
    <s v="TRAN.CTAS.TERC.BM"/>
    <d v="2019-02-14T00:00:00"/>
    <n v="500"/>
    <n v="201902"/>
    <n v="3018494"/>
    <n v="500"/>
    <x v="0"/>
    <x v="7"/>
    <x v="0"/>
    <x v="0"/>
    <x v="1"/>
  </r>
  <r>
    <x v="0"/>
    <s v="193-1312975-0-72"/>
    <s v="BCP"/>
    <s v="ENTR.EFEC. 0801466"/>
    <d v="2019-02-14T00:00:00"/>
    <n v="258.19"/>
    <n v="201902"/>
    <n v="3018641"/>
    <n v="258.19"/>
    <x v="0"/>
    <x v="7"/>
    <x v="0"/>
    <x v="0"/>
    <x v="1"/>
  </r>
  <r>
    <x v="0"/>
    <s v="193-1312975-0-72"/>
    <s v="BCP"/>
    <s v="ENTR.EFEC. 0404975"/>
    <d v="2019-02-14T00:00:00"/>
    <n v="5"/>
    <n v="201902"/>
    <n v="3018590"/>
    <n v="5"/>
    <x v="0"/>
    <x v="7"/>
    <x v="0"/>
    <x v="0"/>
    <x v="1"/>
  </r>
  <r>
    <x v="0"/>
    <s v="193-1312975-0-72"/>
    <s v="BCP"/>
    <s v="DEP EFECT SOL ATM"/>
    <d v="2019-02-13T00:00:00"/>
    <n v="210"/>
    <n v="201902"/>
    <n v="3018080"/>
    <n v="210"/>
    <x v="0"/>
    <x v="7"/>
    <x v="0"/>
    <x v="0"/>
    <x v="1"/>
  </r>
  <r>
    <x v="1"/>
    <s v="193-1342935-1-08"/>
    <s v="BCP"/>
    <s v="TRAN.CTAS.TERC.BM"/>
    <d v="2019-02-13T00:00:00"/>
    <n v="250"/>
    <n v="201902"/>
    <n v="3018253"/>
    <n v="842.5"/>
    <x v="0"/>
    <x v="7"/>
    <x v="0"/>
    <x v="0"/>
    <x v="1"/>
  </r>
  <r>
    <x v="0"/>
    <s v="193-1312975-0-72"/>
    <s v="BCP"/>
    <s v="TRAN.CTAS.TERC.BM"/>
    <d v="2019-02-12T00:00:00"/>
    <n v="510"/>
    <n v="201902"/>
    <n v="3017644"/>
    <n v="510"/>
    <x v="0"/>
    <x v="7"/>
    <x v="0"/>
    <x v="0"/>
    <x v="1"/>
  </r>
  <r>
    <x v="0"/>
    <s v="193-1312975-0-72"/>
    <s v="BCP"/>
    <s v="TRAN.CTAS.TERC.BM"/>
    <d v="2019-02-09T00:00:00"/>
    <n v="180"/>
    <n v="201902"/>
    <n v="3016839"/>
    <n v="180"/>
    <x v="0"/>
    <x v="7"/>
    <x v="0"/>
    <x v="0"/>
    <x v="1"/>
  </r>
  <r>
    <x v="0"/>
    <s v="193-1312975-0-72"/>
    <s v="BCP"/>
    <s v="TRAN.CTAS.TERC.BM"/>
    <d v="2019-02-08T00:00:00"/>
    <n v="150"/>
    <n v="201902"/>
    <n v="3016721"/>
    <n v="150"/>
    <x v="0"/>
    <x v="7"/>
    <x v="0"/>
    <x v="0"/>
    <x v="1"/>
  </r>
  <r>
    <x v="1"/>
    <s v="01-044-460-0006-21"/>
    <s v="SCOTIA"/>
    <s v="ADMINISTRACION FIDUCIARIA"/>
    <d v="2019-02-07T00:00:00"/>
    <n v="8700"/>
    <n v="201902"/>
    <n v="3015859"/>
    <n v="29319"/>
    <x v="0"/>
    <x v="7"/>
    <x v="0"/>
    <x v="0"/>
    <x v="0"/>
  </r>
  <r>
    <x v="1"/>
    <s v="01-044-460-0006-21"/>
    <s v="SCOTIA"/>
    <s v="ADMINISTRACION FIDUCIARIA"/>
    <d v="2019-02-07T00:00:00"/>
    <n v="9000"/>
    <n v="201902"/>
    <n v="3015860"/>
    <n v="30330"/>
    <x v="0"/>
    <x v="7"/>
    <x v="0"/>
    <x v="0"/>
    <x v="0"/>
  </r>
  <r>
    <x v="0"/>
    <s v="193-1312975-0-72"/>
    <s v="BCP"/>
    <s v="TRAN.CTAS.TERC.BM"/>
    <d v="2019-02-06T00:00:00"/>
    <n v="300"/>
    <n v="201902"/>
    <n v="3015688"/>
    <n v="300"/>
    <x v="0"/>
    <x v="7"/>
    <x v="0"/>
    <x v="0"/>
    <x v="1"/>
  </r>
  <r>
    <x v="0"/>
    <s v="193-1312975-0-72"/>
    <s v="BCP"/>
    <s v="TRA O/CTA - AGENTE"/>
    <d v="2019-02-06T00:00:00"/>
    <n v="10.5"/>
    <n v="201902"/>
    <n v="3015160"/>
    <n v="10.5"/>
    <x v="0"/>
    <x v="7"/>
    <x v="0"/>
    <x v="0"/>
    <x v="1"/>
  </r>
  <r>
    <x v="0"/>
    <s v="193-1312975-0-72"/>
    <s v="BCP"/>
    <s v="TRAN.CTAS.TERC.HK"/>
    <d v="2019-02-05T00:00:00"/>
    <n v="500"/>
    <n v="201902"/>
    <n v="3014268"/>
    <n v="500"/>
    <x v="0"/>
    <x v="7"/>
    <x v="0"/>
    <x v="0"/>
    <x v="1"/>
  </r>
  <r>
    <x v="1"/>
    <s v="193-1342935-1-08"/>
    <s v="BCP"/>
    <s v="TRAN.CTAS.TERC.HK"/>
    <d v="2019-02-05T00:00:00"/>
    <n v="250"/>
    <n v="201902"/>
    <n v="3014520"/>
    <n v="842.5"/>
    <x v="0"/>
    <x v="7"/>
    <x v="0"/>
    <x v="0"/>
    <x v="1"/>
  </r>
  <r>
    <x v="0"/>
    <s v="0661-63-0200043647"/>
    <s v="BBVA"/>
    <s v="SERIVIMASTER LIMATAMBO"/>
    <d v="2019-02-05T00:00:00"/>
    <n v="110"/>
    <n v="201902"/>
    <n v="3014718"/>
    <n v="110"/>
    <x v="0"/>
    <x v="7"/>
    <x v="0"/>
    <x v="0"/>
    <x v="0"/>
  </r>
  <r>
    <x v="1"/>
    <s v="193-1342935-1-08"/>
    <s v="BCP"/>
    <s v="ENTR.EFEC. 0695513"/>
    <d v="2019-02-04T00:00:00"/>
    <n v="50"/>
    <n v="201902"/>
    <n v="3014182"/>
    <n v="168.5"/>
    <x v="0"/>
    <x v="7"/>
    <x v="0"/>
    <x v="0"/>
    <x v="1"/>
  </r>
  <r>
    <x v="0"/>
    <s v="193-1312975-0-72"/>
    <s v="BCP"/>
    <s v="ENTR.EFEC. 0306019"/>
    <d v="2019-02-01T00:00:00"/>
    <n v="1700"/>
    <n v="201902"/>
    <n v="3013343"/>
    <n v="1700"/>
    <x v="0"/>
    <x v="7"/>
    <x v="0"/>
    <x v="0"/>
    <x v="1"/>
  </r>
  <r>
    <x v="0"/>
    <s v="193-1312975-0-72"/>
    <s v="BCP"/>
    <s v="TRAN.CTAS.TERC.HK"/>
    <d v="2019-02-01T00:00:00"/>
    <n v="650"/>
    <n v="201902"/>
    <n v="3012921"/>
    <n v="650"/>
    <x v="0"/>
    <x v="7"/>
    <x v="0"/>
    <x v="0"/>
    <x v="1"/>
  </r>
  <r>
    <x v="1"/>
    <s v="100-0006236"/>
    <s v="BANBIF"/>
    <s v="TT CUENTAS"/>
    <d v="2019-02-01T00:00:00"/>
    <n v="6602.93"/>
    <n v="201902"/>
    <n v="3013103"/>
    <n v="22251.874100000001"/>
    <x v="0"/>
    <x v="7"/>
    <x v="0"/>
    <x v="0"/>
    <x v="1"/>
  </r>
  <r>
    <x v="1"/>
    <s v="193-1342935-1-08"/>
    <s v="BCP"/>
    <s v="TRAN.CTAS.TERC.BM"/>
    <d v="2019-02-01T00:00:00"/>
    <n v="90"/>
    <n v="201902"/>
    <n v="3013557"/>
    <n v="303.3"/>
    <x v="0"/>
    <x v="7"/>
    <x v="0"/>
    <x v="0"/>
    <x v="1"/>
  </r>
  <r>
    <x v="1"/>
    <s v="193-1342935-1-08"/>
    <s v="BCP"/>
    <s v="ENTREGA C/CHEQUES FUE"/>
    <d v="2019-02-01T00:00:00"/>
    <n v="2856.5"/>
    <n v="201902"/>
    <n v="3012933"/>
    <n v="9626.4050000000007"/>
    <x v="0"/>
    <x v="7"/>
    <x v="0"/>
    <x v="0"/>
    <x v="1"/>
  </r>
  <r>
    <x v="1"/>
    <s v="193-1342935-1-08"/>
    <s v="BCP"/>
    <s v="TRAN.CTAS.TERC.HK"/>
    <d v="2019-02-01T00:00:00"/>
    <n v="150"/>
    <n v="201902"/>
    <n v="3013139"/>
    <n v="505.5"/>
    <x v="0"/>
    <x v="7"/>
    <x v="0"/>
    <x v="0"/>
    <x v="1"/>
  </r>
  <r>
    <x v="0"/>
    <s v="193-1312975-0-72"/>
    <s v="BCP"/>
    <s v="DEP EFECT SOL ATM"/>
    <d v="2019-01-31T00:00:00"/>
    <n v="100"/>
    <n v="201901"/>
    <n v="3012351"/>
    <n v="100"/>
    <x v="0"/>
    <x v="8"/>
    <x v="0"/>
    <x v="0"/>
    <x v="1"/>
  </r>
  <r>
    <x v="0"/>
    <s v="0661-63-0200043647"/>
    <s v="BBVA"/>
    <s v="RAUL HUGO ABILIO MARTINOT LUYO"/>
    <d v="2019-01-31T00:00:00"/>
    <n v="90"/>
    <n v="201901"/>
    <n v="3012327"/>
    <n v="90"/>
    <x v="0"/>
    <x v="8"/>
    <x v="0"/>
    <x v="0"/>
    <x v="0"/>
  </r>
  <r>
    <x v="0"/>
    <s v="0661-63-0200043647"/>
    <s v="BBVA"/>
    <s v="PAGVAR BANCA AUTOMATIC"/>
    <d v="2019-01-30T00:00:00"/>
    <n v="8000"/>
    <n v="201901"/>
    <n v="3011669"/>
    <n v="8000"/>
    <x v="0"/>
    <x v="8"/>
    <x v="0"/>
    <x v="0"/>
    <x v="1"/>
  </r>
  <r>
    <x v="0"/>
    <s v="193-1312975-0-72"/>
    <s v="BCP"/>
    <s v="DE MPCH SAC"/>
    <d v="2019-01-30T00:00:00"/>
    <n v="10000"/>
    <n v="201901"/>
    <n v="3011747"/>
    <n v="10000"/>
    <x v="0"/>
    <x v="8"/>
    <x v="0"/>
    <x v="0"/>
    <x v="0"/>
  </r>
  <r>
    <x v="0"/>
    <s v="193-1312975-0-72"/>
    <s v="BCP"/>
    <s v="DE COOP. DE AHORRO Y C"/>
    <d v="2019-01-30T00:00:00"/>
    <n v="1254.82"/>
    <n v="201901"/>
    <n v="3011882"/>
    <n v="1254.82"/>
    <x v="0"/>
    <x v="8"/>
    <x v="0"/>
    <x v="0"/>
    <x v="0"/>
  </r>
  <r>
    <x v="1"/>
    <s v="193-1342935-1-08"/>
    <s v="BCP"/>
    <s v="TRAN.CTAS.TERC.BM"/>
    <d v="2019-01-29T00:00:00"/>
    <n v="23.32"/>
    <n v="201901"/>
    <n v="3011098"/>
    <n v="78.588400000000007"/>
    <x v="0"/>
    <x v="8"/>
    <x v="0"/>
    <x v="0"/>
    <x v="1"/>
  </r>
  <r>
    <x v="0"/>
    <s v="193-1312975-0-72"/>
    <s v="BCP"/>
    <s v="TRAN.CTAS.TERC.HK"/>
    <d v="2019-01-25T00:00:00"/>
    <n v="200"/>
    <n v="201901"/>
    <n v="3009768"/>
    <n v="200"/>
    <x v="0"/>
    <x v="8"/>
    <x v="0"/>
    <x v="0"/>
    <x v="1"/>
  </r>
  <r>
    <x v="0"/>
    <s v="0661-63-0200043647"/>
    <s v="BBVA"/>
    <s v="*HENRIQUEZ BALCAZAR LAURA FIORELLA"/>
    <d v="2019-01-25T00:00:00"/>
    <n v="910"/>
    <n v="201901"/>
    <n v="3010232"/>
    <n v="910"/>
    <x v="0"/>
    <x v="8"/>
    <x v="0"/>
    <x v="0"/>
    <x v="0"/>
  </r>
  <r>
    <x v="0"/>
    <s v="0661-63-0200043647"/>
    <s v="BBVA"/>
    <s v="INGRESO EN EFECTIVO OF. LURIN"/>
    <d v="2019-01-24T00:00:00"/>
    <n v="5000"/>
    <n v="201901"/>
    <n v="3009359"/>
    <n v="5000"/>
    <x v="0"/>
    <x v="8"/>
    <x v="0"/>
    <x v="0"/>
    <x v="1"/>
  </r>
  <r>
    <x v="0"/>
    <s v="0661-63-0200043647"/>
    <s v="BBVA"/>
    <s v="INGRESO EN EFECTIVO G EFECTIVO REDE"/>
    <d v="2019-01-23T00:00:00"/>
    <n v="3"/>
    <n v="201901"/>
    <n v="3009081"/>
    <n v="3"/>
    <x v="0"/>
    <x v="8"/>
    <x v="0"/>
    <x v="0"/>
    <x v="1"/>
  </r>
  <r>
    <x v="0"/>
    <s v="193-1312975-0-72"/>
    <s v="BCP"/>
    <s v="TRAN.CTAS.TERC.BM"/>
    <d v="2019-01-21T00:00:00"/>
    <n v="5000"/>
    <n v="201901"/>
    <n v="3007883"/>
    <n v="5000"/>
    <x v="0"/>
    <x v="8"/>
    <x v="0"/>
    <x v="0"/>
    <x v="1"/>
  </r>
  <r>
    <x v="0"/>
    <s v="193-1312975-0-72"/>
    <s v="BCP"/>
    <s v="TRAN.CTAS.TERC.BM"/>
    <d v="2019-01-19T00:00:00"/>
    <n v="608"/>
    <n v="201901"/>
    <n v="3007449"/>
    <n v="608"/>
    <x v="0"/>
    <x v="8"/>
    <x v="0"/>
    <x v="0"/>
    <x v="1"/>
  </r>
  <r>
    <x v="0"/>
    <s v="193-1312975-0-72"/>
    <s v="BCP"/>
    <s v="DE KRAFTWAGEN SOCIEDAD"/>
    <d v="2019-01-18T00:00:00"/>
    <n v="1725"/>
    <n v="201901"/>
    <n v="3007419"/>
    <n v="1725"/>
    <x v="0"/>
    <x v="8"/>
    <x v="0"/>
    <x v="0"/>
    <x v="0"/>
  </r>
  <r>
    <x v="0"/>
    <s v="041-3000106330"/>
    <s v="IBK"/>
    <s v="DEP.EFECTI - -"/>
    <d v="2019-01-17T00:00:00"/>
    <n v="140"/>
    <n v="201901"/>
    <n v="3006738"/>
    <n v="140"/>
    <x v="0"/>
    <x v="8"/>
    <x v="0"/>
    <x v="0"/>
    <x v="1"/>
  </r>
  <r>
    <x v="0"/>
    <s v="193-1312975-0-72"/>
    <s v="BCP"/>
    <s v="TRAN.CTAS.TERC.HK"/>
    <d v="2019-01-16T00:00:00"/>
    <n v="1"/>
    <n v="201901"/>
    <n v="3006092"/>
    <n v="1"/>
    <x v="0"/>
    <x v="8"/>
    <x v="0"/>
    <x v="0"/>
    <x v="1"/>
  </r>
  <r>
    <x v="1"/>
    <s v="041-3000106347"/>
    <s v="IBK"/>
    <s v="DEP.EFECTI - -"/>
    <d v="2019-01-16T00:00:00"/>
    <n v="300"/>
    <n v="201901"/>
    <n v="3005992"/>
    <n v="1011"/>
    <x v="0"/>
    <x v="8"/>
    <x v="0"/>
    <x v="0"/>
    <x v="1"/>
  </r>
  <r>
    <x v="0"/>
    <s v="193-1312975-0-72"/>
    <s v="BCP"/>
    <s v="ENTR.EFEC. 0814971"/>
    <d v="2019-01-15T00:00:00"/>
    <n v="1512"/>
    <n v="201901"/>
    <n v="3005473"/>
    <n v="1512"/>
    <x v="0"/>
    <x v="8"/>
    <x v="0"/>
    <x v="0"/>
    <x v="1"/>
  </r>
  <r>
    <x v="0"/>
    <s v="0661-63-0200043647"/>
    <s v="BBVA"/>
    <s v="*TONG RUIZ MARLEN AKIM"/>
    <d v="2019-01-15T00:00:00"/>
    <n v="50"/>
    <n v="201901"/>
    <n v="3005459"/>
    <n v="50"/>
    <x v="0"/>
    <x v="8"/>
    <x v="0"/>
    <x v="0"/>
    <x v="0"/>
  </r>
  <r>
    <x v="0"/>
    <s v="0661-63-0200043647"/>
    <s v="BBVA"/>
    <s v="ROSA MILAGROS AGUIRRE PEREZ"/>
    <d v="2019-01-14T00:00:00"/>
    <n v="1.5"/>
    <n v="201901"/>
    <n v="3005028"/>
    <n v="1.5"/>
    <x v="0"/>
    <x v="8"/>
    <x v="0"/>
    <x v="0"/>
    <x v="0"/>
  </r>
  <r>
    <x v="0"/>
    <s v="193-1312975-0-72"/>
    <s v="BCP"/>
    <s v="TRAN.CTAS.TERC.BM"/>
    <d v="2019-01-12T00:00:00"/>
    <n v="468"/>
    <n v="201901"/>
    <n v="3004579"/>
    <n v="468"/>
    <x v="0"/>
    <x v="8"/>
    <x v="0"/>
    <x v="0"/>
    <x v="1"/>
  </r>
  <r>
    <x v="0"/>
    <s v="0661-63-0200043647"/>
    <s v="BBVA"/>
    <s v="DEPOS. EN CTA. 001106610200043647"/>
    <d v="2019-01-10T00:00:00"/>
    <n v="60"/>
    <n v="201901"/>
    <n v="3003874"/>
    <n v="60"/>
    <x v="0"/>
    <x v="8"/>
    <x v="0"/>
    <x v="0"/>
    <x v="1"/>
  </r>
  <r>
    <x v="0"/>
    <s v="0661-63-0200043647"/>
    <s v="BBVA"/>
    <s v="DEPOS. EN CTA. 001106610200043647"/>
    <d v="2019-01-10T00:00:00"/>
    <n v="60"/>
    <n v="201901"/>
    <n v="3003875"/>
    <n v="60"/>
    <x v="0"/>
    <x v="8"/>
    <x v="0"/>
    <x v="0"/>
    <x v="1"/>
  </r>
  <r>
    <x v="0"/>
    <s v="193-1312975-0-72"/>
    <s v="BCP"/>
    <s v="TRAN.CTAS.TERC.HK"/>
    <d v="2019-01-10T00:00:00"/>
    <n v="30"/>
    <n v="201901"/>
    <n v="3003773"/>
    <n v="30"/>
    <x v="0"/>
    <x v="8"/>
    <x v="0"/>
    <x v="0"/>
    <x v="1"/>
  </r>
  <r>
    <x v="0"/>
    <s v="041-3000106330"/>
    <s v="IBK"/>
    <s v="DEP.EFECTI - -"/>
    <d v="2019-01-08T00:00:00"/>
    <n v="100"/>
    <n v="201901"/>
    <n v="3003036"/>
    <n v="100"/>
    <x v="0"/>
    <x v="8"/>
    <x v="0"/>
    <x v="0"/>
    <x v="1"/>
  </r>
  <r>
    <x v="0"/>
    <s v="193-1312975-0-72"/>
    <s v="BCP"/>
    <s v="TRA O/CTA - AGENTE"/>
    <d v="2019-01-08T00:00:00"/>
    <n v="110"/>
    <n v="201901"/>
    <n v="3003081"/>
    <n v="110"/>
    <x v="0"/>
    <x v="8"/>
    <x v="0"/>
    <x v="0"/>
    <x v="1"/>
  </r>
  <r>
    <x v="1"/>
    <s v="193-1342935-1-08"/>
    <s v="BCP"/>
    <s v="ENTR.EFEC. 0496416"/>
    <d v="2019-01-08T00:00:00"/>
    <n v="4800"/>
    <n v="201901"/>
    <n v="3003097"/>
    <n v="16176"/>
    <x v="0"/>
    <x v="8"/>
    <x v="0"/>
    <x v="0"/>
    <x v="1"/>
  </r>
  <r>
    <x v="0"/>
    <s v="041-3000106330"/>
    <s v="IBK"/>
    <s v="DEP.EFECTI - -"/>
    <d v="2019-01-07T00:00:00"/>
    <n v="2100"/>
    <n v="201901"/>
    <n v="3002294"/>
    <n v="2100"/>
    <x v="0"/>
    <x v="8"/>
    <x v="0"/>
    <x v="0"/>
    <x v="1"/>
  </r>
  <r>
    <x v="1"/>
    <s v="041-3000106347"/>
    <s v="IBK"/>
    <s v="DEP.EFECTI - -"/>
    <d v="2019-01-07T00:00:00"/>
    <n v="550"/>
    <n v="201901"/>
    <n v="3002297"/>
    <n v="1853.5"/>
    <x v="0"/>
    <x v="8"/>
    <x v="0"/>
    <x v="0"/>
    <x v="1"/>
  </r>
  <r>
    <x v="0"/>
    <s v="193-1312975-0-72"/>
    <s v="BCP"/>
    <s v="TRAN.CTAS.TERC.HK"/>
    <d v="2019-01-05T00:00:00"/>
    <n v="500"/>
    <n v="201901"/>
    <n v="3001793"/>
    <n v="500"/>
    <x v="0"/>
    <x v="8"/>
    <x v="0"/>
    <x v="0"/>
    <x v="1"/>
  </r>
  <r>
    <x v="0"/>
    <s v="193-1312975-0-72"/>
    <s v="BCP"/>
    <s v="DE CORPORACION LOS ALA"/>
    <d v="2019-01-05T00:00:00"/>
    <n v="10"/>
    <n v="201901"/>
    <n v="3001888"/>
    <n v="10"/>
    <x v="0"/>
    <x v="8"/>
    <x v="0"/>
    <x v="0"/>
    <x v="0"/>
  </r>
  <r>
    <x v="0"/>
    <s v="0661-63-0200043647"/>
    <s v="BBVA"/>
    <s v="pago comisión G EFECTIVO REDE"/>
    <d v="2019-01-04T00:00:00"/>
    <n v="110"/>
    <n v="201901"/>
    <n v="3001133"/>
    <n v="110"/>
    <x v="0"/>
    <x v="8"/>
    <x v="0"/>
    <x v="0"/>
    <x v="1"/>
  </r>
  <r>
    <x v="0"/>
    <s v="193-1312975-0-72"/>
    <s v="BCP"/>
    <s v="TRAN.CTAS.TERC.HK"/>
    <d v="2019-01-04T00:00:00"/>
    <n v="18"/>
    <n v="201901"/>
    <n v="3001418"/>
    <n v="18"/>
    <x v="0"/>
    <x v="8"/>
    <x v="0"/>
    <x v="0"/>
    <x v="1"/>
  </r>
  <r>
    <x v="0"/>
    <s v="193-1312975-0-72"/>
    <s v="BCP"/>
    <s v="TRAN.CTAS.TERC.BM"/>
    <d v="2019-01-04T00:00:00"/>
    <n v="368"/>
    <n v="201901"/>
    <n v="3001731"/>
    <n v="368"/>
    <x v="0"/>
    <x v="8"/>
    <x v="0"/>
    <x v="0"/>
    <x v="1"/>
  </r>
  <r>
    <x v="0"/>
    <s v="193-1312975-0-72"/>
    <s v="BCP"/>
    <s v="TRA O/CTA - AGENTE"/>
    <d v="2019-01-04T00:00:00"/>
    <n v="68.7"/>
    <n v="201901"/>
    <n v="3001749"/>
    <n v="68.7"/>
    <x v="0"/>
    <x v="8"/>
    <x v="0"/>
    <x v="0"/>
    <x v="1"/>
  </r>
  <r>
    <x v="0"/>
    <s v="193-1312975-0-72"/>
    <s v="BCP"/>
    <s v="TRAN.CTAS.TERC.BM"/>
    <d v="2019-01-04T00:00:00"/>
    <n v="60"/>
    <n v="201901"/>
    <n v="3001750"/>
    <n v="60"/>
    <x v="0"/>
    <x v="8"/>
    <x v="0"/>
    <x v="0"/>
    <x v="1"/>
  </r>
  <r>
    <x v="0"/>
    <s v="193-1312975-0-72"/>
    <s v="BCP"/>
    <s v="TRAN.CTAS.TERC.BM"/>
    <d v="2019-01-04T00:00:00"/>
    <n v="1512"/>
    <n v="201901"/>
    <n v="3001343"/>
    <n v="1512"/>
    <x v="0"/>
    <x v="8"/>
    <x v="0"/>
    <x v="0"/>
    <x v="1"/>
  </r>
  <r>
    <x v="0"/>
    <s v="193-1312975-0-72"/>
    <s v="BCP"/>
    <s v="ENTR.EFEC. 0780694"/>
    <d v="2019-01-03T00:00:00"/>
    <n v="240"/>
    <n v="201901"/>
    <n v="3001010"/>
    <n v="240"/>
    <x v="0"/>
    <x v="8"/>
    <x v="0"/>
    <x v="0"/>
    <x v="1"/>
  </r>
  <r>
    <x v="1"/>
    <s v="193-1342935-1-08"/>
    <s v="BCP"/>
    <s v="ENTR.EFEC. 0541793"/>
    <d v="2019-01-03T00:00:00"/>
    <n v="50"/>
    <n v="201901"/>
    <n v="3000729"/>
    <n v="168.5"/>
    <x v="0"/>
    <x v="8"/>
    <x v="0"/>
    <x v="0"/>
    <x v="1"/>
  </r>
  <r>
    <x v="0"/>
    <s v="044-460-0009-24"/>
    <s v="SCOTIA"/>
    <s v="GUIBU MIYASHIRO, ANA MARIA"/>
    <d v="2019-01-02T00:00:00"/>
    <n v="723"/>
    <n v="201901"/>
    <n v="3000070"/>
    <n v="723"/>
    <x v="0"/>
    <x v="8"/>
    <x v="0"/>
    <x v="0"/>
    <x v="0"/>
  </r>
  <r>
    <x v="0"/>
    <s v="193-1312975-0-72"/>
    <s v="BCP"/>
    <s v="TRAN.CTAS.TERC.HK"/>
    <d v="2019-01-01T00:00:00"/>
    <n v="1512"/>
    <n v="201901"/>
    <n v="3000392"/>
    <n v="1512"/>
    <x v="0"/>
    <x v="8"/>
    <x v="0"/>
    <x v="0"/>
    <x v="1"/>
  </r>
  <r>
    <x v="0"/>
    <s v="193-1312975-0-72"/>
    <s v="BCP"/>
    <s v="TRAN.CTAS.TERC.BM"/>
    <d v="2018-12-29T00:00:00"/>
    <n v="1512"/>
    <n v="201812"/>
    <n v="3151070"/>
    <n v="1512"/>
    <x v="1"/>
    <x v="9"/>
    <x v="0"/>
    <x v="0"/>
    <x v="1"/>
  </r>
  <r>
    <x v="1"/>
    <s v="193-1342935-1-08"/>
    <s v="BCP"/>
    <s v="TRAN.CTAS.TERC.HK"/>
    <d v="2018-12-29T00:00:00"/>
    <n v="400"/>
    <n v="201812"/>
    <n v="3151300"/>
    <n v="1348"/>
    <x v="1"/>
    <x v="9"/>
    <x v="0"/>
    <x v="0"/>
    <x v="1"/>
  </r>
  <r>
    <x v="0"/>
    <s v="0661-63-0200043647"/>
    <s v="BBVA"/>
    <s v="*REDHEAD BUSTAMANTE GUILLERMO FEDERI"/>
    <d v="2018-12-29T00:00:00"/>
    <n v="1"/>
    <n v="201812"/>
    <n v="3151316"/>
    <n v="1"/>
    <x v="1"/>
    <x v="9"/>
    <x v="0"/>
    <x v="0"/>
    <x v="0"/>
  </r>
  <r>
    <x v="0"/>
    <s v="193-1312975-0-72"/>
    <s v="BCP"/>
    <s v="TRAN.CTAS.TERC.BM"/>
    <d v="2018-12-28T00:00:00"/>
    <n v="250"/>
    <n v="201812"/>
    <n v="3150186"/>
    <n v="250"/>
    <x v="1"/>
    <x v="9"/>
    <x v="0"/>
    <x v="0"/>
    <x v="1"/>
  </r>
  <r>
    <x v="1"/>
    <s v="142-75-0200064790"/>
    <s v="BBVA"/>
    <s v="FACTURA 23 BANCA AUTOMATIC"/>
    <d v="2018-12-28T00:00:00"/>
    <n v="1043.9000000000001"/>
    <n v="201812"/>
    <n v="3150468"/>
    <n v="3517.9430000000002"/>
    <x v="1"/>
    <x v="9"/>
    <x v="0"/>
    <x v="0"/>
    <x v="1"/>
  </r>
  <r>
    <x v="1"/>
    <s v="193-1342935-1-08"/>
    <s v="BCP"/>
    <s v="DE SAVAR AGENTES DE AD"/>
    <d v="2018-12-28T00:00:00"/>
    <n v="74.08"/>
    <n v="201812"/>
    <n v="3150206"/>
    <n v="249.64959999999999"/>
    <x v="1"/>
    <x v="9"/>
    <x v="0"/>
    <x v="0"/>
    <x v="0"/>
  </r>
  <r>
    <x v="1"/>
    <s v="193-1342935-1-08"/>
    <s v="BCP"/>
    <s v="ENTREGA C/CHEQUES FUE"/>
    <d v="2018-12-27T00:00:00"/>
    <n v="2856.5"/>
    <n v="201812"/>
    <n v="3149200"/>
    <n v="9626.4050000000007"/>
    <x v="1"/>
    <x v="9"/>
    <x v="0"/>
    <x v="0"/>
    <x v="1"/>
  </r>
  <r>
    <x v="0"/>
    <s v="0661-63-0200043647"/>
    <s v="BBVA"/>
    <s v="ALFONSO ESPINOZA OF.LOS ROBLES"/>
    <d v="2018-12-26T00:00:00"/>
    <n v="1750"/>
    <n v="201812"/>
    <n v="3149033"/>
    <n v="1750"/>
    <x v="1"/>
    <x v="9"/>
    <x v="0"/>
    <x v="0"/>
    <x v="0"/>
  </r>
  <r>
    <x v="0"/>
    <s v="193-1312975-0-72"/>
    <s v="BCP"/>
    <s v="DE 193-37396749-0"/>
    <d v="2018-12-26T00:00:00"/>
    <n v="1250"/>
    <n v="201812"/>
    <n v="3148616"/>
    <n v="1250"/>
    <x v="1"/>
    <x v="9"/>
    <x v="0"/>
    <x v="0"/>
    <x v="0"/>
  </r>
  <r>
    <x v="0"/>
    <s v="193-1312975-0-72"/>
    <s v="BCP"/>
    <s v="TRAN.CTAS.TERC.BM"/>
    <d v="2018-12-24T00:00:00"/>
    <n v="1004"/>
    <n v="201812"/>
    <n v="3148178"/>
    <n v="1004"/>
    <x v="1"/>
    <x v="9"/>
    <x v="0"/>
    <x v="0"/>
    <x v="1"/>
  </r>
  <r>
    <x v="0"/>
    <s v="0661-63-0200043647"/>
    <s v="BBVA"/>
    <s v="DEPOS. EN CTA. 001106610200043647"/>
    <d v="2018-12-22T00:00:00"/>
    <n v="300"/>
    <n v="201812"/>
    <n v="3147917"/>
    <n v="300"/>
    <x v="1"/>
    <x v="9"/>
    <x v="0"/>
    <x v="0"/>
    <x v="1"/>
  </r>
  <r>
    <x v="0"/>
    <s v="193-1312975-0-72"/>
    <s v="BCP"/>
    <s v="ENTR.EFEC. 0709506"/>
    <d v="2018-12-22T00:00:00"/>
    <n v="3602"/>
    <n v="201812"/>
    <n v="3147862"/>
    <n v="3602"/>
    <x v="1"/>
    <x v="9"/>
    <x v="0"/>
    <x v="0"/>
    <x v="1"/>
  </r>
  <r>
    <x v="0"/>
    <s v="044-460-0009-24"/>
    <s v="SCOTIA"/>
    <s v="TRANSFERENCIA"/>
    <d v="2018-12-21T00:00:00"/>
    <n v="42354.58"/>
    <n v="201812"/>
    <n v="3147829"/>
    <n v="42354.58"/>
    <x v="1"/>
    <x v="9"/>
    <x v="0"/>
    <x v="0"/>
    <x v="1"/>
  </r>
  <r>
    <x v="0"/>
    <s v="193-1312975-0-72"/>
    <s v="BCP"/>
    <s v="TRAN.CTAS.TERC.BM"/>
    <d v="2018-12-21T00:00:00"/>
    <n v="672"/>
    <n v="201812"/>
    <n v="3147439"/>
    <n v="672"/>
    <x v="1"/>
    <x v="9"/>
    <x v="0"/>
    <x v="0"/>
    <x v="1"/>
  </r>
  <r>
    <x v="0"/>
    <s v="193-1312975-0-72"/>
    <s v="BCP"/>
    <s v="TRAN.CTAS.TERC.BM"/>
    <d v="2018-12-21T00:00:00"/>
    <n v="8350"/>
    <n v="201812"/>
    <n v="3147058"/>
    <n v="8350"/>
    <x v="1"/>
    <x v="9"/>
    <x v="0"/>
    <x v="0"/>
    <x v="1"/>
  </r>
  <r>
    <x v="1"/>
    <s v="142-75-0200064790"/>
    <s v="BBVA"/>
    <s v="INGRESO EN EFECTIVO OF. PQ DE LA AM"/>
    <d v="2018-12-21T00:00:00"/>
    <n v="2000"/>
    <n v="201812"/>
    <n v="3147556"/>
    <n v="6740"/>
    <x v="1"/>
    <x v="9"/>
    <x v="0"/>
    <x v="0"/>
    <x v="1"/>
  </r>
  <r>
    <x v="1"/>
    <s v="193-1342935-1-08"/>
    <s v="BCP"/>
    <s v="DE EMPRESA DE TRANSFER"/>
    <d v="2018-12-21T00:00:00"/>
    <n v="1.62"/>
    <n v="201812"/>
    <n v="3147486"/>
    <n v="5.4594000000000005"/>
    <x v="1"/>
    <x v="9"/>
    <x v="0"/>
    <x v="0"/>
    <x v="0"/>
  </r>
  <r>
    <x v="0"/>
    <s v="193-1312975-0-72"/>
    <s v="BCP"/>
    <s v="TRAN.CTAS.TERC.BM"/>
    <d v="2018-12-20T00:00:00"/>
    <n v="200"/>
    <n v="201812"/>
    <n v="3146980"/>
    <n v="200"/>
    <x v="1"/>
    <x v="9"/>
    <x v="0"/>
    <x v="0"/>
    <x v="1"/>
  </r>
  <r>
    <x v="1"/>
    <s v="01-044-460-0006-21"/>
    <s v="SCOTIA"/>
    <s v="DEPOSITO EN EFECTIVO"/>
    <d v="2018-12-19T00:00:00"/>
    <n v="2400"/>
    <n v="201812"/>
    <n v="3146312"/>
    <n v="8088"/>
    <x v="1"/>
    <x v="9"/>
    <x v="0"/>
    <x v="0"/>
    <x v="1"/>
  </r>
  <r>
    <x v="1"/>
    <s v="193-1342935-1-08"/>
    <s v="BCP"/>
    <s v="TRAN.CTAS.TERC.BM"/>
    <d v="2018-12-19T00:00:00"/>
    <n v="1.46"/>
    <n v="201812"/>
    <n v="3146148"/>
    <n v="4.9202000000000004"/>
    <x v="1"/>
    <x v="9"/>
    <x v="0"/>
    <x v="0"/>
    <x v="1"/>
  </r>
  <r>
    <x v="0"/>
    <s v="193-1312975-0-72"/>
    <s v="BCP"/>
    <s v="TRAN.CTAS.TERC.HK"/>
    <d v="2018-12-18T00:00:00"/>
    <n v="258"/>
    <n v="201812"/>
    <n v="3145302"/>
    <n v="258"/>
    <x v="1"/>
    <x v="9"/>
    <x v="0"/>
    <x v="0"/>
    <x v="1"/>
  </r>
  <r>
    <x v="0"/>
    <s v="193-1312975-0-72"/>
    <s v="BCP"/>
    <s v="TRA O/CTA SOL ATM"/>
    <d v="2018-12-18T00:00:00"/>
    <n v="1500"/>
    <n v="201812"/>
    <n v="3145727"/>
    <n v="1500"/>
    <x v="1"/>
    <x v="9"/>
    <x v="0"/>
    <x v="0"/>
    <x v="1"/>
  </r>
  <r>
    <x v="1"/>
    <s v="142-75-0200064790"/>
    <s v="BBVA"/>
    <s v="*PLASENCIA ANGULO CLAUDIA BETHZABE"/>
    <d v="2018-12-18T00:00:00"/>
    <n v="56.02"/>
    <n v="201812"/>
    <n v="3145665"/>
    <n v="188.78740000000002"/>
    <x v="1"/>
    <x v="9"/>
    <x v="0"/>
    <x v="0"/>
    <x v="0"/>
  </r>
  <r>
    <x v="0"/>
    <s v="100-0006228"/>
    <s v="BANBIF"/>
    <s v="I/S-171218 I137225"/>
    <d v="2018-12-17T00:00:00"/>
    <n v="10000"/>
    <n v="201812"/>
    <n v="3144555"/>
    <n v="10000"/>
    <x v="1"/>
    <x v="9"/>
    <x v="0"/>
    <x v="0"/>
    <x v="1"/>
  </r>
  <r>
    <x v="0"/>
    <s v="193-1312975-0-72"/>
    <s v="BCP"/>
    <s v="TRANSF.BCO.SCOTIABANK"/>
    <d v="2018-12-17T00:00:00"/>
    <n v="150"/>
    <n v="201812"/>
    <n v="3144649"/>
    <n v="150"/>
    <x v="1"/>
    <x v="9"/>
    <x v="0"/>
    <x v="0"/>
    <x v="1"/>
  </r>
  <r>
    <x v="0"/>
    <s v="193-1312975-0-72"/>
    <s v="BCP"/>
    <s v="TRAN.CTAS.TERC.BM"/>
    <d v="2018-12-17T00:00:00"/>
    <n v="620"/>
    <n v="201812"/>
    <n v="3145037"/>
    <n v="620"/>
    <x v="1"/>
    <x v="9"/>
    <x v="0"/>
    <x v="0"/>
    <x v="1"/>
  </r>
  <r>
    <x v="0"/>
    <s v="193-1312975-0-72"/>
    <s v="BCP"/>
    <s v="TRAN.CTAS.TERC.BM"/>
    <d v="2018-12-17T00:00:00"/>
    <n v="1718"/>
    <n v="201812"/>
    <n v="3145038"/>
    <n v="1718"/>
    <x v="1"/>
    <x v="9"/>
    <x v="0"/>
    <x v="0"/>
    <x v="1"/>
  </r>
  <r>
    <x v="0"/>
    <s v="0661-63-0200043647"/>
    <s v="BBVA"/>
    <s v="*PICASSO PAREDES LUIS FERNANDO"/>
    <d v="2018-12-15T00:00:00"/>
    <n v="100"/>
    <n v="201812"/>
    <n v="3144553"/>
    <n v="100"/>
    <x v="1"/>
    <x v="9"/>
    <x v="0"/>
    <x v="0"/>
    <x v="0"/>
  </r>
  <r>
    <x v="0"/>
    <s v="193-1312975-0-72"/>
    <s v="BCP"/>
    <s v="DEVOLUCION DE INT/COM."/>
    <d v="2018-12-14T00:00:00"/>
    <n v="5362.86"/>
    <n v="201812"/>
    <n v="3144088"/>
    <n v="5362.86"/>
    <x v="1"/>
    <x v="9"/>
    <x v="0"/>
    <x v="0"/>
    <x v="1"/>
  </r>
  <r>
    <x v="0"/>
    <s v="193-1312975-0-72"/>
    <s v="BCP"/>
    <s v="TRA O/CTA - AGENTE"/>
    <d v="2018-12-14T00:00:00"/>
    <n v="41.6"/>
    <n v="201812"/>
    <n v="3144168"/>
    <n v="41.6"/>
    <x v="1"/>
    <x v="9"/>
    <x v="0"/>
    <x v="0"/>
    <x v="1"/>
  </r>
  <r>
    <x v="0"/>
    <s v="193-1312975-0-72"/>
    <s v="BCP"/>
    <s v="TRAN CUENTA TER BM"/>
    <d v="2018-12-12T00:00:00"/>
    <n v="2000"/>
    <n v="201812"/>
    <n v="3142900"/>
    <n v="2000"/>
    <x v="1"/>
    <x v="9"/>
    <x v="0"/>
    <x v="0"/>
    <x v="1"/>
  </r>
  <r>
    <x v="1"/>
    <s v="193-1342935-1-08"/>
    <s v="BCP"/>
    <s v="ENTR.EFEC. 0327399"/>
    <d v="2018-12-12T00:00:00"/>
    <n v="1"/>
    <n v="201812"/>
    <n v="3142763"/>
    <n v="3.37"/>
    <x v="1"/>
    <x v="9"/>
    <x v="0"/>
    <x v="0"/>
    <x v="1"/>
  </r>
  <r>
    <x v="0"/>
    <s v="193-1312975-0-72"/>
    <s v="BCP"/>
    <s v="TRAN.CTAS.TERC.HK"/>
    <d v="2018-12-11T00:00:00"/>
    <n v="100"/>
    <n v="201812"/>
    <n v="3142424"/>
    <n v="100"/>
    <x v="1"/>
    <x v="9"/>
    <x v="0"/>
    <x v="0"/>
    <x v="1"/>
  </r>
  <r>
    <x v="0"/>
    <s v="0661-63-0200043647"/>
    <s v="BBVA"/>
    <s v="A CUENTA BANCA AUTOMATIC"/>
    <d v="2018-12-10T00:00:00"/>
    <n v="5000"/>
    <n v="201812"/>
    <n v="3141920"/>
    <n v="5000"/>
    <x v="1"/>
    <x v="9"/>
    <x v="0"/>
    <x v="0"/>
    <x v="1"/>
  </r>
  <r>
    <x v="0"/>
    <s v="193-1312975-0-72"/>
    <s v="BCP"/>
    <s v="TRAN CUENTA TER BM"/>
    <d v="2018-12-10T00:00:00"/>
    <n v="50"/>
    <n v="201812"/>
    <n v="3141860"/>
    <n v="50"/>
    <x v="1"/>
    <x v="9"/>
    <x v="0"/>
    <x v="0"/>
    <x v="1"/>
  </r>
  <r>
    <x v="0"/>
    <s v="0661-63-0200043647"/>
    <s v="BBVA"/>
    <s v="Lentes G EFECTIVO REDE"/>
    <d v="2018-12-08T00:00:00"/>
    <n v="219"/>
    <n v="201812"/>
    <n v="3141335"/>
    <n v="219"/>
    <x v="1"/>
    <x v="9"/>
    <x v="0"/>
    <x v="0"/>
    <x v="1"/>
  </r>
  <r>
    <x v="0"/>
    <s v="193-1312975-0-72"/>
    <s v="BCP"/>
    <s v="TRAN.CTAS.TERC.HK"/>
    <d v="2018-12-08T00:00:00"/>
    <n v="376"/>
    <n v="201812"/>
    <n v="3141217"/>
    <n v="376"/>
    <x v="1"/>
    <x v="9"/>
    <x v="0"/>
    <x v="0"/>
    <x v="1"/>
  </r>
  <r>
    <x v="0"/>
    <s v="193-1312975-0-72"/>
    <s v="BCP"/>
    <s v="TRAN.CTAS.TERC.HK"/>
    <d v="2018-12-07T00:00:00"/>
    <n v="300"/>
    <n v="201812"/>
    <n v="3141284"/>
    <n v="300"/>
    <x v="1"/>
    <x v="9"/>
    <x v="0"/>
    <x v="0"/>
    <x v="1"/>
  </r>
  <r>
    <x v="0"/>
    <s v="193-1312975-0-72"/>
    <s v="BCP"/>
    <s v="TRAN.CTAS.TERC.HK"/>
    <d v="2018-12-06T00:00:00"/>
    <n v="200"/>
    <n v="201812"/>
    <n v="3140188"/>
    <n v="200"/>
    <x v="1"/>
    <x v="9"/>
    <x v="0"/>
    <x v="0"/>
    <x v="1"/>
  </r>
  <r>
    <x v="0"/>
    <s v="0661-63-0200043647"/>
    <s v="BBVA"/>
    <s v="INGRESO EN EFECTIVO NICOLAS ARRIOLA"/>
    <d v="2018-12-05T00:00:00"/>
    <n v="2000"/>
    <n v="201812"/>
    <n v="3139463"/>
    <n v="2000"/>
    <x v="1"/>
    <x v="9"/>
    <x v="0"/>
    <x v="0"/>
    <x v="1"/>
  </r>
  <r>
    <x v="0"/>
    <s v="193-1312975-0-72"/>
    <s v="BCP"/>
    <s v="TRAN.CTAS.TERC.HK"/>
    <d v="2018-12-05T00:00:00"/>
    <n v="500"/>
    <n v="201812"/>
    <n v="3139371"/>
    <n v="500"/>
    <x v="1"/>
    <x v="9"/>
    <x v="0"/>
    <x v="0"/>
    <x v="1"/>
  </r>
  <r>
    <x v="1"/>
    <s v="142-75-0200064790"/>
    <s v="BBVA"/>
    <s v="A CUENTA BANCA AUTOMATIC"/>
    <d v="2018-12-05T00:00:00"/>
    <n v="3000"/>
    <n v="201812"/>
    <n v="3139672"/>
    <n v="10110"/>
    <x v="1"/>
    <x v="9"/>
    <x v="0"/>
    <x v="0"/>
    <x v="1"/>
  </r>
  <r>
    <x v="1"/>
    <s v="193-1342935-1-08"/>
    <s v="BCP"/>
    <s v="ENTR.EFEC. 0314464"/>
    <d v="2018-12-05T00:00:00"/>
    <n v="50"/>
    <n v="201812"/>
    <n v="3139397"/>
    <n v="168.5"/>
    <x v="1"/>
    <x v="9"/>
    <x v="0"/>
    <x v="0"/>
    <x v="1"/>
  </r>
  <r>
    <x v="0"/>
    <s v="0661-63-0200043647"/>
    <s v="BBVA"/>
    <s v="A CUENTA BANCA AUTOMATIC"/>
    <d v="2018-12-04T00:00:00"/>
    <n v="20000"/>
    <n v="201812"/>
    <n v="3139351"/>
    <n v="20000"/>
    <x v="1"/>
    <x v="9"/>
    <x v="0"/>
    <x v="0"/>
    <x v="1"/>
  </r>
  <r>
    <x v="0"/>
    <s v="044-460-0009-24"/>
    <s v="SCOTIA"/>
    <s v="GUIBU MIYASHIRO, ANA MARIA"/>
    <d v="2018-12-04T00:00:00"/>
    <n v="6500"/>
    <n v="201812"/>
    <n v="3139095"/>
    <n v="6500"/>
    <x v="1"/>
    <x v="9"/>
    <x v="0"/>
    <x v="0"/>
    <x v="0"/>
  </r>
  <r>
    <x v="0"/>
    <s v="0661-63-0200043647"/>
    <s v="BBVA"/>
    <s v="*CAVERO ARCINIEGA CARLA LUZMILA"/>
    <d v="2018-12-04T00:00:00"/>
    <n v="45"/>
    <n v="201812"/>
    <n v="3139184"/>
    <n v="45"/>
    <x v="1"/>
    <x v="9"/>
    <x v="0"/>
    <x v="0"/>
    <x v="0"/>
  </r>
  <r>
    <x v="0"/>
    <s v="193-1312975-0-72"/>
    <s v="BCP"/>
    <s v="DE COOPERAT.DE AHORRO"/>
    <d v="2018-12-04T00:00:00"/>
    <n v="10043.51"/>
    <n v="201812"/>
    <n v="3139278"/>
    <n v="10043.51"/>
    <x v="1"/>
    <x v="9"/>
    <x v="0"/>
    <x v="0"/>
    <x v="0"/>
  </r>
  <r>
    <x v="0"/>
    <s v="193-1312975-0-72"/>
    <s v="BCP"/>
    <s v="TRAN.CTAS.TERC.BM"/>
    <d v="2018-12-01T00:00:00"/>
    <n v="200"/>
    <n v="201812"/>
    <n v="3138101"/>
    <n v="200"/>
    <x v="1"/>
    <x v="9"/>
    <x v="0"/>
    <x v="0"/>
    <x v="1"/>
  </r>
  <r>
    <x v="0"/>
    <s v="193-1312975-0-72"/>
    <s v="BCP"/>
    <s v="TRAN.CTAS.TERC.BM"/>
    <d v="2018-11-30T00:00:00"/>
    <n v="40"/>
    <n v="201811"/>
    <n v="3137145"/>
    <n v="40"/>
    <x v="1"/>
    <x v="10"/>
    <x v="0"/>
    <x v="0"/>
    <x v="1"/>
  </r>
  <r>
    <x v="1"/>
    <s v="193-1342935-1-08"/>
    <s v="BCP"/>
    <s v="ENTREGA C/CHEQUES FUE"/>
    <d v="2018-11-30T00:00:00"/>
    <n v="2763.9"/>
    <n v="201811"/>
    <n v="3137388"/>
    <n v="9314.3430000000008"/>
    <x v="1"/>
    <x v="10"/>
    <x v="0"/>
    <x v="0"/>
    <x v="1"/>
  </r>
  <r>
    <x v="0"/>
    <s v="044-460-0009-24"/>
    <s v="SCOTIA"/>
    <s v="DEPOSITO EN EFECTIVO"/>
    <d v="2018-11-29T00:00:00"/>
    <n v="150"/>
    <n v="201811"/>
    <n v="3136752"/>
    <n v="150"/>
    <x v="1"/>
    <x v="10"/>
    <x v="0"/>
    <x v="0"/>
    <x v="1"/>
  </r>
  <r>
    <x v="0"/>
    <s v="193-1312975-0-72"/>
    <s v="BCP"/>
    <s v="TRAN.CTAS.TERC.BM"/>
    <d v="2018-11-29T00:00:00"/>
    <n v="175"/>
    <n v="201811"/>
    <n v="3136928"/>
    <n v="175"/>
    <x v="1"/>
    <x v="10"/>
    <x v="0"/>
    <x v="0"/>
    <x v="1"/>
  </r>
  <r>
    <x v="0"/>
    <s v="0661-63-0200043647"/>
    <s v="BBVA"/>
    <s v="INGRESO EN EFECTIVO OF. LURIN"/>
    <d v="2018-11-26T00:00:00"/>
    <n v="485"/>
    <n v="201811"/>
    <n v="3134759"/>
    <n v="485"/>
    <x v="1"/>
    <x v="10"/>
    <x v="0"/>
    <x v="0"/>
    <x v="1"/>
  </r>
  <r>
    <x v="0"/>
    <s v="0661-63-0200043647"/>
    <s v="BBVA"/>
    <s v="INGRESO EN EFECTIVO G EFECTIVO REDE"/>
    <d v="2018-11-24T00:00:00"/>
    <n v="228"/>
    <n v="201811"/>
    <n v="3134606"/>
    <n v="228"/>
    <x v="1"/>
    <x v="10"/>
    <x v="0"/>
    <x v="0"/>
    <x v="1"/>
  </r>
  <r>
    <x v="0"/>
    <s v="193-1312975-0-72"/>
    <s v="BCP"/>
    <s v="TRAN.CTAS.TERC.BM"/>
    <d v="2018-11-24T00:00:00"/>
    <n v="15"/>
    <n v="201811"/>
    <n v="3134580"/>
    <n v="15"/>
    <x v="1"/>
    <x v="10"/>
    <x v="0"/>
    <x v="0"/>
    <x v="1"/>
  </r>
  <r>
    <x v="1"/>
    <s v="100-0006236"/>
    <s v="BANBIF"/>
    <s v="LA TORRE ORTIZ JIMMY ANTONIO"/>
    <d v="2018-11-23T00:00:00"/>
    <n v="2945"/>
    <n v="201811"/>
    <n v="3134807"/>
    <n v="9924.65"/>
    <x v="1"/>
    <x v="10"/>
    <x v="0"/>
    <x v="0"/>
    <x v="0"/>
  </r>
  <r>
    <x v="0"/>
    <s v="193-1312975-0-72"/>
    <s v="BCP"/>
    <s v="ENTR.EFEC. 0738746"/>
    <d v="2018-11-09T00:00:00"/>
    <n v="70"/>
    <n v="201811"/>
    <n v="3128570"/>
    <n v="70"/>
    <x v="1"/>
    <x v="10"/>
    <x v="0"/>
    <x v="0"/>
    <x v="1"/>
  </r>
  <r>
    <x v="0"/>
    <s v="041-3000106330"/>
    <s v="IBK"/>
    <s v="VALDIVIA PINTO GIULIANO GONZAL"/>
    <d v="2018-11-09T00:00:00"/>
    <n v="200"/>
    <n v="201811"/>
    <n v="3151761"/>
    <n v="200"/>
    <x v="1"/>
    <x v="10"/>
    <x v="0"/>
    <x v="0"/>
    <x v="0"/>
  </r>
  <r>
    <x v="0"/>
    <s v="041-3000106330"/>
    <s v="IBK"/>
    <s v="VALDIVIA PINTO GIULIANO GONZAL"/>
    <d v="2018-11-09T00:00:00"/>
    <n v="240"/>
    <n v="201811"/>
    <n v="3151763"/>
    <n v="240"/>
    <x v="1"/>
    <x v="10"/>
    <x v="0"/>
    <x v="0"/>
    <x v="0"/>
  </r>
  <r>
    <x v="1"/>
    <s v="100-0006236"/>
    <s v="BANBIF"/>
    <s v="SILVA DAVILA JORGE ENRIQUE"/>
    <d v="2018-11-08T00:00:00"/>
    <n v="4000"/>
    <n v="201811"/>
    <n v="3128458"/>
    <n v="13480"/>
    <x v="1"/>
    <x v="10"/>
    <x v="0"/>
    <x v="0"/>
    <x v="0"/>
  </r>
  <r>
    <x v="0"/>
    <s v="193-1312975-0-72"/>
    <s v="BCP"/>
    <s v="TRA O/CTA SOL ATM"/>
    <d v="2018-11-06T00:00:00"/>
    <n v="500"/>
    <n v="201811"/>
    <n v="3126782"/>
    <n v="500"/>
    <x v="1"/>
    <x v="10"/>
    <x v="0"/>
    <x v="0"/>
    <x v="1"/>
  </r>
  <r>
    <x v="1"/>
    <s v="193-1342935-1-08"/>
    <s v="BCP"/>
    <s v="TRAN.CTAS.TERC.HK"/>
    <d v="2018-11-01T00:00:00"/>
    <n v="9.4600000000000009"/>
    <n v="201811"/>
    <n v="3124507"/>
    <n v="31.880200000000006"/>
    <x v="1"/>
    <x v="10"/>
    <x v="0"/>
    <x v="0"/>
    <x v="1"/>
  </r>
  <r>
    <x v="0"/>
    <s v="193-1312975-0-72"/>
    <s v="BCP"/>
    <s v="TRAN.CTAS.TERC.BM"/>
    <d v="2018-10-31T00:00:00"/>
    <n v="200"/>
    <n v="201810"/>
    <n v="3124241"/>
    <n v="200"/>
    <x v="1"/>
    <x v="11"/>
    <x v="0"/>
    <x v="0"/>
    <x v="1"/>
  </r>
  <r>
    <x v="1"/>
    <s v="193-1342935-1-08"/>
    <s v="BCP"/>
    <s v="ENTREGA C/CHEQUES FUE"/>
    <d v="2018-10-31T00:00:00"/>
    <n v="2856.5"/>
    <n v="201810"/>
    <n v="3124068"/>
    <n v="9626.4050000000007"/>
    <x v="1"/>
    <x v="11"/>
    <x v="0"/>
    <x v="0"/>
    <x v="1"/>
  </r>
  <r>
    <x v="1"/>
    <s v="142-75-0200064790"/>
    <s v="BBVA"/>
    <s v="JORGE EDGAR JOSE MU#IZ ZICHES"/>
    <d v="2018-10-31T00:00:00"/>
    <n v="1687.2"/>
    <n v="201810"/>
    <n v="3124510"/>
    <n v="5685.8640000000005"/>
    <x v="1"/>
    <x v="11"/>
    <x v="0"/>
    <x v="0"/>
    <x v="0"/>
  </r>
  <r>
    <x v="0"/>
    <s v="193-1312975-0-72"/>
    <s v="BCP"/>
    <s v="TRAN.CTAS.TERC.BM"/>
    <d v="2018-10-29T00:00:00"/>
    <n v="4.75"/>
    <n v="201810"/>
    <n v="3122878"/>
    <n v="4.75"/>
    <x v="1"/>
    <x v="11"/>
    <x v="0"/>
    <x v="0"/>
    <x v="1"/>
  </r>
  <r>
    <x v="1"/>
    <s v="194-09096274-1-54"/>
    <s v="BCP"/>
    <s v="DEP.EN EFECTIVO"/>
    <d v="2018-10-29T00:00:00"/>
    <n v="200"/>
    <n v="201810"/>
    <n v="3123013"/>
    <n v="674"/>
    <x v="1"/>
    <x v="11"/>
    <x v="0"/>
    <x v="0"/>
    <x v="1"/>
  </r>
  <r>
    <x v="0"/>
    <s v="193-1312975-0-72"/>
    <s v="BCP"/>
    <s v="TRAN.CTAS.TERC.BM"/>
    <d v="2018-10-26T00:00:00"/>
    <n v="200"/>
    <n v="201810"/>
    <n v="3121821"/>
    <n v="200"/>
    <x v="1"/>
    <x v="11"/>
    <x v="0"/>
    <x v="0"/>
    <x v="1"/>
  </r>
  <r>
    <x v="0"/>
    <s v="0661-63-0200043647"/>
    <s v="BBVA"/>
    <s v="TRANSPORTES Y SERVICIOS MEDINA HNOS EIR"/>
    <d v="2018-10-26T00:00:00"/>
    <n v="4432.3999999999996"/>
    <n v="201810"/>
    <n v="3122228"/>
    <n v="4432.3999999999996"/>
    <x v="1"/>
    <x v="11"/>
    <x v="0"/>
    <x v="0"/>
    <x v="0"/>
  </r>
  <r>
    <x v="1"/>
    <s v="193-1342935-1-08"/>
    <s v="BCP"/>
    <s v="DE SUMITARO CORPORATIO"/>
    <d v="2018-10-25T00:00:00"/>
    <n v="431.66"/>
    <n v="201810"/>
    <n v="3121478"/>
    <n v="1454.6942000000001"/>
    <x v="1"/>
    <x v="11"/>
    <x v="0"/>
    <x v="0"/>
    <x v="0"/>
  </r>
  <r>
    <x v="0"/>
    <s v="0661-63-0200043647"/>
    <s v="BBVA"/>
    <s v="*URUMA NAGATOME ALDO JUAN"/>
    <d v="2018-10-24T00:00:00"/>
    <n v="2222.91"/>
    <n v="201810"/>
    <n v="3121011"/>
    <n v="2222.91"/>
    <x v="1"/>
    <x v="11"/>
    <x v="0"/>
    <x v="0"/>
    <x v="0"/>
  </r>
  <r>
    <x v="0"/>
    <s v="0661-63-0200043647"/>
    <s v="BBVA"/>
    <s v="*ORIHUELA TOLENTINO YSIDORA YSABEL"/>
    <d v="2018-10-20T00:00:00"/>
    <n v="2000"/>
    <n v="201810"/>
    <n v="3119829"/>
    <n v="2000"/>
    <x v="1"/>
    <x v="11"/>
    <x v="0"/>
    <x v="0"/>
    <x v="0"/>
  </r>
  <r>
    <x v="0"/>
    <s v="193-1312975-0-72"/>
    <s v="BCP"/>
    <s v="ENTR.EFEC. 0428855"/>
    <d v="2018-10-19T00:00:00"/>
    <n v="80"/>
    <n v="201810"/>
    <n v="3119387"/>
    <n v="80"/>
    <x v="1"/>
    <x v="11"/>
    <x v="0"/>
    <x v="0"/>
    <x v="1"/>
  </r>
  <r>
    <x v="0"/>
    <s v="0661-63-0200043647"/>
    <s v="BBVA"/>
    <s v="*URUMA NAGATOME ALDO JUAN"/>
    <d v="2018-10-18T00:00:00"/>
    <n v="10000"/>
    <n v="201810"/>
    <n v="3119169"/>
    <n v="10000"/>
    <x v="1"/>
    <x v="11"/>
    <x v="0"/>
    <x v="0"/>
    <x v="0"/>
  </r>
  <r>
    <x v="0"/>
    <s v="0661-63-0200043647"/>
    <s v="BBVA"/>
    <s v="OSCAR TAKAHASHI SATO"/>
    <d v="2018-10-17T00:00:00"/>
    <n v="100"/>
    <n v="201810"/>
    <n v="3118341"/>
    <n v="100"/>
    <x v="1"/>
    <x v="11"/>
    <x v="0"/>
    <x v="0"/>
    <x v="0"/>
  </r>
  <r>
    <x v="0"/>
    <s v="193-0054433-0-27"/>
    <s v="BCP"/>
    <s v="NOTA DE DEBITO"/>
    <d v="2018-10-15T00:00:00"/>
    <n v="1"/>
    <n v="201810"/>
    <n v="3117499"/>
    <n v="1"/>
    <x v="1"/>
    <x v="11"/>
    <x v="0"/>
    <x v="0"/>
    <x v="1"/>
  </r>
  <r>
    <x v="1"/>
    <s v="193-1342935-1-08"/>
    <s v="BCP"/>
    <s v="TRAN.CTAS.TERC.BM"/>
    <d v="2018-10-15T00:00:00"/>
    <n v="439.03"/>
    <n v="201810"/>
    <n v="3117099"/>
    <n v="1479.5310999999999"/>
    <x v="1"/>
    <x v="11"/>
    <x v="0"/>
    <x v="0"/>
    <x v="1"/>
  </r>
  <r>
    <x v="1"/>
    <s v="193-1342935-1-08"/>
    <s v="BCP"/>
    <s v="ENTR.EFEC. 0094034"/>
    <d v="2018-10-13T00:00:00"/>
    <n v="7"/>
    <n v="201810"/>
    <n v="3117017"/>
    <n v="23.59"/>
    <x v="1"/>
    <x v="11"/>
    <x v="0"/>
    <x v="0"/>
    <x v="1"/>
  </r>
  <r>
    <x v="0"/>
    <s v="044-460-0009-24"/>
    <s v="SCOTIA"/>
    <s v="TRANSFERENCIA"/>
    <d v="2018-10-10T00:00:00"/>
    <n v="120"/>
    <n v="201810"/>
    <n v="3115836"/>
    <n v="120"/>
    <x v="1"/>
    <x v="11"/>
    <x v="0"/>
    <x v="0"/>
    <x v="1"/>
  </r>
  <r>
    <x v="0"/>
    <s v="193-1312975-0-72"/>
    <s v="BCP"/>
    <s v="ENTR.EFEC. 0168212"/>
    <d v="2018-10-09T00:00:00"/>
    <n v="12000"/>
    <n v="201810"/>
    <n v="3115353"/>
    <n v="12000"/>
    <x v="1"/>
    <x v="11"/>
    <x v="0"/>
    <x v="0"/>
    <x v="1"/>
  </r>
  <r>
    <x v="0"/>
    <s v="193-1312975-0-72"/>
    <s v="BCP"/>
    <s v="TRAN.CTAS.TERC.HK"/>
    <d v="2018-10-07T00:00:00"/>
    <n v="600"/>
    <n v="201810"/>
    <n v="3115072"/>
    <n v="600"/>
    <x v="1"/>
    <x v="11"/>
    <x v="0"/>
    <x v="0"/>
    <x v="1"/>
  </r>
  <r>
    <x v="0"/>
    <s v="193-1312975-0-72"/>
    <s v="BCP"/>
    <s v="TRAN.CTAS.TERC.HK"/>
    <d v="2018-10-05T00:00:00"/>
    <n v="1000"/>
    <n v="201810"/>
    <n v="3114445"/>
    <n v="1000"/>
    <x v="1"/>
    <x v="11"/>
    <x v="0"/>
    <x v="0"/>
    <x v="1"/>
  </r>
  <r>
    <x v="0"/>
    <s v="193-1312975-0-72"/>
    <s v="BCP"/>
    <s v="TRA O/CTA - AGENTE"/>
    <d v="2018-10-05T00:00:00"/>
    <n v="1000"/>
    <n v="201810"/>
    <n v="3114863"/>
    <n v="1000"/>
    <x v="1"/>
    <x v="11"/>
    <x v="0"/>
    <x v="0"/>
    <x v="1"/>
  </r>
  <r>
    <x v="0"/>
    <s v="193-1312975-0-72"/>
    <s v="BCP"/>
    <s v="TRA O/CTA - AGENTE"/>
    <d v="2018-10-05T00:00:00"/>
    <n v="46.2"/>
    <n v="201810"/>
    <n v="3114897"/>
    <n v="46.2"/>
    <x v="1"/>
    <x v="11"/>
    <x v="0"/>
    <x v="0"/>
    <x v="1"/>
  </r>
  <r>
    <x v="0"/>
    <s v="193-1312975-0-72"/>
    <s v="BCP"/>
    <s v="ENTR.EFEC. 0307111"/>
    <d v="2018-10-05T00:00:00"/>
    <n v="600"/>
    <n v="201810"/>
    <n v="3114677"/>
    <n v="600"/>
    <x v="1"/>
    <x v="11"/>
    <x v="0"/>
    <x v="0"/>
    <x v="1"/>
  </r>
  <r>
    <x v="0"/>
    <s v="193-1312975-0-72"/>
    <s v="BCP"/>
    <s v="TRAN.CTAS.TERC.HK"/>
    <d v="2018-10-02T00:00:00"/>
    <n v="59.16"/>
    <n v="201810"/>
    <n v="3112978"/>
    <n v="59.16"/>
    <x v="1"/>
    <x v="11"/>
    <x v="0"/>
    <x v="0"/>
    <x v="1"/>
  </r>
  <r>
    <x v="1"/>
    <s v="193-1342935-1-08"/>
    <s v="BCP"/>
    <s v="ENTREGA C/CHEQUES FUE"/>
    <d v="2018-10-01T00:00:00"/>
    <n v="2763.9"/>
    <n v="201810"/>
    <n v="3111962"/>
    <n v="9314.3430000000008"/>
    <x v="1"/>
    <x v="11"/>
    <x v="0"/>
    <x v="0"/>
    <x v="1"/>
  </r>
  <r>
    <x v="0"/>
    <s v="193-1312975-0-72"/>
    <s v="BCP"/>
    <s v="DE PRISONTEC SAC"/>
    <d v="2018-10-01T00:00:00"/>
    <n v="60"/>
    <n v="201810"/>
    <n v="3111946"/>
    <n v="60"/>
    <x v="1"/>
    <x v="11"/>
    <x v="0"/>
    <x v="0"/>
    <x v="0"/>
  </r>
  <r>
    <x v="1"/>
    <s v="193-1342935-1-08"/>
    <s v="BCP"/>
    <s v="TRAN.CTAS.TERC.HK"/>
    <d v="2018-09-26T00:00:00"/>
    <n v="1000"/>
    <n v="201809"/>
    <n v="3109961"/>
    <n v="3370"/>
    <x v="1"/>
    <x v="0"/>
    <x v="0"/>
    <x v="0"/>
    <x v="1"/>
  </r>
  <r>
    <x v="1"/>
    <s v="193-1342935-1-08"/>
    <s v="BCP"/>
    <s v="TRAN.CTAS.TERC.BM"/>
    <d v="2018-09-25T00:00:00"/>
    <n v="281.07"/>
    <n v="201809"/>
    <n v="3109692"/>
    <n v="947.20590000000004"/>
    <x v="1"/>
    <x v="0"/>
    <x v="0"/>
    <x v="0"/>
    <x v="1"/>
  </r>
  <r>
    <x v="0"/>
    <s v="193-1312975-0-72"/>
    <s v="BCP"/>
    <s v="TRAN.CTAS.TERC.HK"/>
    <d v="2018-09-24T00:00:00"/>
    <n v="780"/>
    <n v="201809"/>
    <n v="3109140"/>
    <n v="780"/>
    <x v="1"/>
    <x v="0"/>
    <x v="0"/>
    <x v="0"/>
    <x v="1"/>
  </r>
  <r>
    <x v="1"/>
    <s v="193-1342935-1-08"/>
    <s v="BCP"/>
    <s v="TRAN.CTAS.TERC.HK"/>
    <d v="2018-09-24T00:00:00"/>
    <n v="50"/>
    <n v="201809"/>
    <n v="3109188"/>
    <n v="168.5"/>
    <x v="1"/>
    <x v="0"/>
    <x v="0"/>
    <x v="0"/>
    <x v="1"/>
  </r>
  <r>
    <x v="0"/>
    <s v="193-1312975-0-72"/>
    <s v="BCP"/>
    <s v="TRAN.CTAS.TERC.BM"/>
    <d v="2018-09-21T00:00:00"/>
    <n v="2"/>
    <n v="201809"/>
    <n v="3108348"/>
    <n v="2"/>
    <x v="1"/>
    <x v="0"/>
    <x v="0"/>
    <x v="0"/>
    <x v="1"/>
  </r>
  <r>
    <x v="1"/>
    <s v="142-75-0200064790"/>
    <s v="BBVA"/>
    <s v="PAGO DE COMISION COOP PACIFICO CF"/>
    <d v="2018-09-17T00:00:00"/>
    <n v="326.75"/>
    <n v="201809"/>
    <n v="3105950"/>
    <n v="1101.1475"/>
    <x v="1"/>
    <x v="0"/>
    <x v="0"/>
    <x v="0"/>
    <x v="1"/>
  </r>
  <r>
    <x v="1"/>
    <s v="194-09096274-1-54"/>
    <s v="BCP"/>
    <s v="TRAN.CTAS.TERC.BM"/>
    <d v="2018-09-15T00:00:00"/>
    <n v="40"/>
    <n v="201809"/>
    <n v="3105629"/>
    <n v="134.80000000000001"/>
    <x v="1"/>
    <x v="0"/>
    <x v="0"/>
    <x v="0"/>
    <x v="1"/>
  </r>
  <r>
    <x v="1"/>
    <s v="193-1342935-1-08"/>
    <s v="BCP"/>
    <s v="TRAN.CTAS.TERC.HK"/>
    <d v="2018-09-13T00:00:00"/>
    <n v="2600"/>
    <n v="201809"/>
    <n v="3104637"/>
    <n v="8762"/>
    <x v="1"/>
    <x v="0"/>
    <x v="0"/>
    <x v="0"/>
    <x v="1"/>
  </r>
  <r>
    <x v="0"/>
    <s v="193-1312975-0-72"/>
    <s v="BCP"/>
    <s v="ENTR.EFEC. 0483268"/>
    <d v="2018-09-08T00:00:00"/>
    <n v="180"/>
    <n v="201809"/>
    <n v="3103369"/>
    <n v="180"/>
    <x v="1"/>
    <x v="0"/>
    <x v="0"/>
    <x v="0"/>
    <x v="1"/>
  </r>
  <r>
    <x v="1"/>
    <s v="01-044-460-0006-21"/>
    <s v="SCOTIA"/>
    <s v="ABUID FERNANDEZ, ANA TERESA"/>
    <d v="2018-09-08T00:00:00"/>
    <n v="63.2"/>
    <n v="201809"/>
    <n v="3103360"/>
    <n v="212.98400000000001"/>
    <x v="1"/>
    <x v="0"/>
    <x v="0"/>
    <x v="0"/>
    <x v="0"/>
  </r>
  <r>
    <x v="0"/>
    <s v="193-1312975-0-72"/>
    <s v="BCP"/>
    <s v="TRAN.CTAS.TERC.HK"/>
    <d v="2018-09-07T00:00:00"/>
    <n v="600"/>
    <n v="201809"/>
    <n v="3103224"/>
    <n v="600"/>
    <x v="1"/>
    <x v="0"/>
    <x v="0"/>
    <x v="0"/>
    <x v="1"/>
  </r>
  <r>
    <x v="1"/>
    <s v="193-1342935-1-08"/>
    <s v="BCP"/>
    <s v="TRAN.CTAS.TERC.HK"/>
    <d v="2018-09-06T00:00:00"/>
    <n v="800"/>
    <n v="201809"/>
    <n v="3102716"/>
    <n v="2696"/>
    <x v="1"/>
    <x v="0"/>
    <x v="0"/>
    <x v="0"/>
    <x v="1"/>
  </r>
  <r>
    <x v="1"/>
    <s v="193-1342935-1-08"/>
    <s v="BCP"/>
    <s v="TRAN.CTAS.TERC.BM"/>
    <d v="2018-09-06T00:00:00"/>
    <n v="8.85"/>
    <n v="201809"/>
    <n v="3102310"/>
    <n v="29.8245"/>
    <x v="1"/>
    <x v="0"/>
    <x v="0"/>
    <x v="0"/>
    <x v="1"/>
  </r>
  <r>
    <x v="1"/>
    <s v="193-1342935-1-08"/>
    <s v="BCP"/>
    <s v="TRAN.CTAS.TERC.BM"/>
    <d v="2018-09-06T00:00:00"/>
    <n v="5"/>
    <n v="201809"/>
    <n v="3102444"/>
    <n v="16.850000000000001"/>
    <x v="1"/>
    <x v="0"/>
    <x v="0"/>
    <x v="0"/>
    <x v="1"/>
  </r>
  <r>
    <x v="0"/>
    <s v="044-460-0009-24"/>
    <s v="SCOTIA"/>
    <s v="TRANSFERENCIA"/>
    <d v="2018-09-05T00:00:00"/>
    <n v="6000"/>
    <n v="201809"/>
    <n v="3101500"/>
    <n v="6000"/>
    <x v="1"/>
    <x v="0"/>
    <x v="0"/>
    <x v="0"/>
    <x v="1"/>
  </r>
  <r>
    <x v="0"/>
    <s v="0661-63-0200043647"/>
    <s v="BBVA"/>
    <s v="INGRESO EN EFECTIVO REP.DE PANAMA"/>
    <d v="2018-09-03T00:00:00"/>
    <n v="318"/>
    <n v="201809"/>
    <n v="3100358"/>
    <n v="318"/>
    <x v="1"/>
    <x v="0"/>
    <x v="0"/>
    <x v="0"/>
    <x v="1"/>
  </r>
  <r>
    <x v="0"/>
    <s v="041-3000106330"/>
    <s v="IBK"/>
    <s v="DEP.EFECTI - -"/>
    <d v="2018-08-31T00:00:00"/>
    <n v="950"/>
    <n v="201808"/>
    <n v="3099478"/>
    <n v="950"/>
    <x v="1"/>
    <x v="1"/>
    <x v="0"/>
    <x v="0"/>
    <x v="1"/>
  </r>
  <r>
    <x v="1"/>
    <s v="193-1342935-1-08"/>
    <s v="BCP"/>
    <s v="ENTREGA C/CHEQUES FUE"/>
    <d v="2018-08-31T00:00:00"/>
    <n v="2856.5"/>
    <n v="201808"/>
    <n v="3099502"/>
    <n v="9626.4050000000007"/>
    <x v="1"/>
    <x v="1"/>
    <x v="0"/>
    <x v="0"/>
    <x v="1"/>
  </r>
  <r>
    <x v="0"/>
    <s v="0661-63-0200043647"/>
    <s v="BBVA"/>
    <s v="*PICASSO PAREDES LUIS FERNANDO"/>
    <d v="2018-08-31T00:00:00"/>
    <n v="100"/>
    <n v="201808"/>
    <n v="3099389"/>
    <n v="100"/>
    <x v="1"/>
    <x v="1"/>
    <x v="0"/>
    <x v="0"/>
    <x v="0"/>
  </r>
  <r>
    <x v="0"/>
    <s v="193-1312975-0-72"/>
    <s v="BCP"/>
    <s v="DE COOPERAT.DE AHORRO"/>
    <d v="2018-08-31T00:00:00"/>
    <n v="15265.24"/>
    <n v="201808"/>
    <n v="3099731"/>
    <n v="15265.24"/>
    <x v="1"/>
    <x v="1"/>
    <x v="0"/>
    <x v="0"/>
    <x v="0"/>
  </r>
  <r>
    <x v="0"/>
    <s v="193-1312975-0-72"/>
    <s v="BCP"/>
    <s v="TRAN.CTAS.TERC.HK"/>
    <d v="2018-08-29T00:00:00"/>
    <n v="800"/>
    <n v="201808"/>
    <n v="3098836"/>
    <n v="800"/>
    <x v="1"/>
    <x v="1"/>
    <x v="0"/>
    <x v="0"/>
    <x v="1"/>
  </r>
  <r>
    <x v="0"/>
    <s v="193-1312975-0-72"/>
    <s v="BCP"/>
    <s v="TRAN.CTAS.TERC.BM"/>
    <d v="2018-08-29T00:00:00"/>
    <n v="2.29"/>
    <n v="201808"/>
    <n v="3098979"/>
    <n v="2.29"/>
    <x v="1"/>
    <x v="1"/>
    <x v="0"/>
    <x v="0"/>
    <x v="1"/>
  </r>
  <r>
    <x v="1"/>
    <s v="193-1342935-1-08"/>
    <s v="BCP"/>
    <s v="TRAN.CTAS.TERC.HK"/>
    <d v="2018-08-29T00:00:00"/>
    <n v="200"/>
    <n v="201808"/>
    <n v="3099009"/>
    <n v="674"/>
    <x v="1"/>
    <x v="1"/>
    <x v="0"/>
    <x v="0"/>
    <x v="1"/>
  </r>
  <r>
    <x v="0"/>
    <s v="193-1312975-0-72"/>
    <s v="BCP"/>
    <s v="TRAN.CTAS.TERC.BM"/>
    <d v="2018-08-27T00:00:00"/>
    <n v="1039"/>
    <n v="201808"/>
    <n v="3097985"/>
    <n v="1039"/>
    <x v="1"/>
    <x v="1"/>
    <x v="0"/>
    <x v="0"/>
    <x v="1"/>
  </r>
  <r>
    <x v="0"/>
    <s v="193-1312975-0-72"/>
    <s v="BCP"/>
    <s v="TRAN.CTAS.TERC.HK"/>
    <d v="2018-08-25T00:00:00"/>
    <n v="189.32"/>
    <n v="201808"/>
    <n v="3097282"/>
    <n v="189.32"/>
    <x v="1"/>
    <x v="1"/>
    <x v="0"/>
    <x v="0"/>
    <x v="1"/>
  </r>
  <r>
    <x v="0"/>
    <s v="193-1312975-0-72"/>
    <s v="BCP"/>
    <s v="ENTR.EFEC. 0683018"/>
    <d v="2018-08-25T00:00:00"/>
    <n v="621"/>
    <n v="201808"/>
    <n v="3097234"/>
    <n v="621"/>
    <x v="1"/>
    <x v="1"/>
    <x v="0"/>
    <x v="0"/>
    <x v="1"/>
  </r>
  <r>
    <x v="0"/>
    <s v="193-1312975-0-72"/>
    <s v="BCP"/>
    <s v="TRAN.CTAS.TERC.HK"/>
    <d v="2018-08-23T00:00:00"/>
    <n v="592"/>
    <n v="201808"/>
    <n v="3096659"/>
    <n v="592"/>
    <x v="1"/>
    <x v="1"/>
    <x v="0"/>
    <x v="0"/>
    <x v="1"/>
  </r>
  <r>
    <x v="0"/>
    <s v="193-1312975-0-72"/>
    <s v="BCP"/>
    <s v="TRANSF DE OTRA CTA"/>
    <d v="2018-08-22T00:00:00"/>
    <n v="20"/>
    <n v="201808"/>
    <n v="3096056"/>
    <n v="20"/>
    <x v="1"/>
    <x v="1"/>
    <x v="0"/>
    <x v="0"/>
    <x v="1"/>
  </r>
  <r>
    <x v="0"/>
    <s v="0661-63-0200043647"/>
    <s v="BBVA"/>
    <s v="DEPOS. EN CTA. 001106610200043647"/>
    <d v="2018-08-21T00:00:00"/>
    <n v="1250"/>
    <n v="201808"/>
    <n v="3095513"/>
    <n v="1250"/>
    <x v="1"/>
    <x v="1"/>
    <x v="0"/>
    <x v="0"/>
    <x v="1"/>
  </r>
  <r>
    <x v="0"/>
    <s v="0661-63-0200043647"/>
    <s v="BBVA"/>
    <s v="INGRESO EN EFECTIVO CANAVAL MOREYRA"/>
    <d v="2018-08-18T00:00:00"/>
    <n v="917.6"/>
    <n v="201808"/>
    <n v="3094496"/>
    <n v="917.6"/>
    <x v="1"/>
    <x v="1"/>
    <x v="0"/>
    <x v="0"/>
    <x v="1"/>
  </r>
  <r>
    <x v="0"/>
    <s v="193-1312975-0-72"/>
    <s v="BCP"/>
    <s v="TRA O/CTA SOL ATM"/>
    <d v="2018-08-17T00:00:00"/>
    <n v="800"/>
    <n v="201808"/>
    <n v="3094276"/>
    <n v="800"/>
    <x v="1"/>
    <x v="1"/>
    <x v="0"/>
    <x v="0"/>
    <x v="1"/>
  </r>
  <r>
    <x v="0"/>
    <s v="193-1312975-0-72"/>
    <s v="BCP"/>
    <s v="TRAN.CTAS.TERC.HK"/>
    <d v="2018-08-16T00:00:00"/>
    <n v="568.89"/>
    <n v="201808"/>
    <n v="3093917"/>
    <n v="568.89"/>
    <x v="1"/>
    <x v="1"/>
    <x v="0"/>
    <x v="0"/>
    <x v="1"/>
  </r>
  <r>
    <x v="0"/>
    <s v="193-1312975-0-72"/>
    <s v="BCP"/>
    <s v="DEP EFECT SOL ATM"/>
    <d v="2018-08-15T00:00:00"/>
    <n v="950"/>
    <n v="201808"/>
    <n v="3093373"/>
    <n v="950"/>
    <x v="1"/>
    <x v="1"/>
    <x v="0"/>
    <x v="0"/>
    <x v="1"/>
  </r>
  <r>
    <x v="1"/>
    <s v="193-1342935-1-08"/>
    <s v="BCP"/>
    <s v="ENTR.EFEC. 0337450"/>
    <d v="2018-08-13T00:00:00"/>
    <n v="8.2899999999999991"/>
    <n v="201808"/>
    <n v="3092544"/>
    <n v="27.937299999999997"/>
    <x v="1"/>
    <x v="1"/>
    <x v="0"/>
    <x v="0"/>
    <x v="1"/>
  </r>
  <r>
    <x v="0"/>
    <s v="193-0054433-0-27"/>
    <s v="BCP"/>
    <s v="TRA O/CTA SOL ATM"/>
    <d v="2018-08-12T00:00:00"/>
    <n v="45"/>
    <n v="201808"/>
    <n v="3092071"/>
    <n v="45"/>
    <x v="1"/>
    <x v="1"/>
    <x v="0"/>
    <x v="0"/>
    <x v="1"/>
  </r>
  <r>
    <x v="0"/>
    <s v="193-1312975-0-72"/>
    <s v="BCP"/>
    <s v="TRAN.CTAS.TERC.HK"/>
    <d v="2018-08-08T00:00:00"/>
    <n v="300"/>
    <n v="201808"/>
    <n v="3090722"/>
    <n v="300"/>
    <x v="1"/>
    <x v="1"/>
    <x v="0"/>
    <x v="0"/>
    <x v="1"/>
  </r>
  <r>
    <x v="0"/>
    <s v="193-1312975-0-72"/>
    <s v="BCP"/>
    <s v="TRA O/CTA"/>
    <d v="2018-08-03T00:00:00"/>
    <n v="12.5"/>
    <n v="201808"/>
    <n v="3088602"/>
    <n v="12.5"/>
    <x v="1"/>
    <x v="1"/>
    <x v="0"/>
    <x v="0"/>
    <x v="1"/>
  </r>
  <r>
    <x v="1"/>
    <s v="193-1342935-1-08"/>
    <s v="BCP"/>
    <s v="ENTREGA C/CHEQUES FUE"/>
    <d v="2018-08-02T00:00:00"/>
    <n v="2856.5"/>
    <n v="201808"/>
    <n v="3088184"/>
    <n v="9626.4050000000007"/>
    <x v="1"/>
    <x v="1"/>
    <x v="0"/>
    <x v="0"/>
    <x v="1"/>
  </r>
  <r>
    <x v="0"/>
    <s v="193-1312975-0-72"/>
    <s v="BCP"/>
    <s v="TRAN.CTAS.TERC.HK"/>
    <d v="2018-07-28T00:00:00"/>
    <n v="200"/>
    <n v="201807"/>
    <n v="3085971"/>
    <n v="200"/>
    <x v="1"/>
    <x v="2"/>
    <x v="0"/>
    <x v="0"/>
    <x v="1"/>
  </r>
  <r>
    <x v="0"/>
    <s v="044-460-0009-24"/>
    <s v="SCOTIA"/>
    <s v="DEPOSITO EN EFECTIVO"/>
    <d v="2018-07-25T00:00:00"/>
    <n v="4404.5"/>
    <n v="201807"/>
    <n v="3084814"/>
    <n v="4404.5"/>
    <x v="1"/>
    <x v="2"/>
    <x v="0"/>
    <x v="0"/>
    <x v="1"/>
  </r>
  <r>
    <x v="0"/>
    <s v="193-1312975-0-72"/>
    <s v="BCP"/>
    <s v="TRA O/CTA SOL ATM"/>
    <d v="2018-07-22T00:00:00"/>
    <n v="2000"/>
    <n v="201807"/>
    <n v="3083301"/>
    <n v="2000"/>
    <x v="1"/>
    <x v="2"/>
    <x v="0"/>
    <x v="0"/>
    <x v="1"/>
  </r>
  <r>
    <x v="0"/>
    <s v="193-1312975-0-72"/>
    <s v="BCP"/>
    <s v="TRA O/CTA - AGENTE"/>
    <d v="2018-07-22T00:00:00"/>
    <n v="1000"/>
    <n v="201807"/>
    <n v="3083302"/>
    <n v="1000"/>
    <x v="1"/>
    <x v="2"/>
    <x v="0"/>
    <x v="0"/>
    <x v="1"/>
  </r>
  <r>
    <x v="0"/>
    <s v="193-1312975-0-72"/>
    <s v="BCP"/>
    <s v="TRA O/CTA - AGENTE"/>
    <d v="2018-07-22T00:00:00"/>
    <n v="1000"/>
    <n v="201807"/>
    <n v="3083303"/>
    <n v="1000"/>
    <x v="1"/>
    <x v="2"/>
    <x v="0"/>
    <x v="0"/>
    <x v="1"/>
  </r>
  <r>
    <x v="0"/>
    <s v="041-3000106330"/>
    <s v="IBK"/>
    <s v="DEP.EFECTI - -"/>
    <d v="2018-07-20T00:00:00"/>
    <n v="400"/>
    <n v="201807"/>
    <n v="3082930"/>
    <n v="400"/>
    <x v="1"/>
    <x v="2"/>
    <x v="0"/>
    <x v="0"/>
    <x v="1"/>
  </r>
  <r>
    <x v="0"/>
    <s v="041-3000106330"/>
    <s v="IBK"/>
    <s v="DEP.EFECTI - -"/>
    <d v="2018-07-20T00:00:00"/>
    <n v="220"/>
    <n v="201807"/>
    <n v="3082594"/>
    <n v="220"/>
    <x v="1"/>
    <x v="2"/>
    <x v="0"/>
    <x v="0"/>
    <x v="1"/>
  </r>
  <r>
    <x v="0"/>
    <s v="041-3000106330"/>
    <s v="IBK"/>
    <s v="DEP.EFECTI - -"/>
    <d v="2018-07-20T00:00:00"/>
    <n v="220"/>
    <n v="201807"/>
    <n v="3082595"/>
    <n v="220"/>
    <x v="1"/>
    <x v="2"/>
    <x v="0"/>
    <x v="0"/>
    <x v="1"/>
  </r>
  <r>
    <x v="0"/>
    <s v="193-1312975-0-72"/>
    <s v="BCP"/>
    <s v="TRAN.CTAS.TERC.HK"/>
    <d v="2018-07-20T00:00:00"/>
    <n v="300"/>
    <n v="201807"/>
    <n v="3082885"/>
    <n v="300"/>
    <x v="1"/>
    <x v="2"/>
    <x v="0"/>
    <x v="0"/>
    <x v="1"/>
  </r>
  <r>
    <x v="1"/>
    <s v="193-1342935-1-08"/>
    <s v="BCP"/>
    <s v="TRAN.CTAS.TERC.BM"/>
    <d v="2018-07-20T00:00:00"/>
    <n v="1438"/>
    <n v="201807"/>
    <n v="3082814"/>
    <n v="4846.0600000000004"/>
    <x v="1"/>
    <x v="2"/>
    <x v="0"/>
    <x v="0"/>
    <x v="1"/>
  </r>
  <r>
    <x v="0"/>
    <s v="044-460-0009-24"/>
    <s v="SCOTIA"/>
    <s v="RAMOS PACHECO, JORGE ANTONIO"/>
    <d v="2018-07-19T00:00:00"/>
    <n v="600"/>
    <n v="201807"/>
    <n v="3082102"/>
    <n v="600"/>
    <x v="1"/>
    <x v="2"/>
    <x v="0"/>
    <x v="0"/>
    <x v="0"/>
  </r>
  <r>
    <x v="0"/>
    <s v="193-1312975-0-72"/>
    <s v="BCP"/>
    <s v="DE GRUPO DE OPERACIONE"/>
    <d v="2018-07-18T00:00:00"/>
    <n v="160"/>
    <n v="201807"/>
    <n v="3081804"/>
    <n v="160"/>
    <x v="1"/>
    <x v="2"/>
    <x v="0"/>
    <x v="0"/>
    <x v="0"/>
  </r>
  <r>
    <x v="0"/>
    <s v="193-1312975-0-72"/>
    <s v="BCP"/>
    <s v="TRA O/CTA SOL ATM"/>
    <d v="2018-07-16T00:00:00"/>
    <n v="400"/>
    <n v="201807"/>
    <n v="3080818"/>
    <n v="400"/>
    <x v="1"/>
    <x v="2"/>
    <x v="0"/>
    <x v="0"/>
    <x v="1"/>
  </r>
  <r>
    <x v="1"/>
    <s v="041-3000106347"/>
    <s v="IBK"/>
    <s v="DEP.EFECTI - -"/>
    <d v="2018-07-12T00:00:00"/>
    <n v="120"/>
    <n v="201807"/>
    <n v="3079516"/>
    <n v="404.40000000000003"/>
    <x v="1"/>
    <x v="2"/>
    <x v="0"/>
    <x v="0"/>
    <x v="1"/>
  </r>
  <r>
    <x v="0"/>
    <s v="193-1312975-0-72"/>
    <s v="BCP"/>
    <s v="TRA O/CTA - AGENTE"/>
    <d v="2018-07-11T00:00:00"/>
    <n v="30"/>
    <n v="201807"/>
    <n v="3078939"/>
    <n v="30"/>
    <x v="1"/>
    <x v="2"/>
    <x v="0"/>
    <x v="0"/>
    <x v="1"/>
  </r>
  <r>
    <x v="0"/>
    <s v="193-1312975-0-72"/>
    <s v="BCP"/>
    <s v="ENTR.EFEC. 0829218"/>
    <d v="2018-07-10T00:00:00"/>
    <n v="30"/>
    <n v="201807"/>
    <n v="3078226"/>
    <n v="30"/>
    <x v="1"/>
    <x v="2"/>
    <x v="0"/>
    <x v="0"/>
    <x v="1"/>
  </r>
  <r>
    <x v="1"/>
    <s v="142-75-0200064790"/>
    <s v="BBVA"/>
    <s v="INGRESO EN EFECTIVO ABANCAY CONGRES"/>
    <d v="2018-07-10T00:00:00"/>
    <n v="2.7"/>
    <n v="201807"/>
    <n v="3078502"/>
    <n v="9.0990000000000002"/>
    <x v="1"/>
    <x v="2"/>
    <x v="0"/>
    <x v="0"/>
    <x v="1"/>
  </r>
  <r>
    <x v="1"/>
    <s v="041-3000106347"/>
    <s v="IBK"/>
    <s v="NAKAMURA FLORES JORGE GUSTAVO"/>
    <d v="2018-07-08T00:00:00"/>
    <n v="5"/>
    <n v="201807"/>
    <n v="3077438"/>
    <n v="16.850000000000001"/>
    <x v="1"/>
    <x v="2"/>
    <x v="0"/>
    <x v="0"/>
    <x v="0"/>
  </r>
  <r>
    <x v="0"/>
    <s v="193-1312975-0-72"/>
    <s v="BCP"/>
    <s v="TRAN.CTAS.TERC.BM"/>
    <d v="2018-07-07T00:00:00"/>
    <n v="300"/>
    <n v="201807"/>
    <n v="3077404"/>
    <n v="300"/>
    <x v="1"/>
    <x v="2"/>
    <x v="0"/>
    <x v="0"/>
    <x v="1"/>
  </r>
  <r>
    <x v="0"/>
    <s v="044-460-0009-24"/>
    <s v="SCOTIA"/>
    <s v="INMOBILIARIA EL ALAMEIN SOCIED"/>
    <d v="2018-07-06T00:00:00"/>
    <n v="220"/>
    <n v="201807"/>
    <n v="3076926"/>
    <n v="220"/>
    <x v="1"/>
    <x v="2"/>
    <x v="0"/>
    <x v="0"/>
    <x v="0"/>
  </r>
  <r>
    <x v="0"/>
    <s v="193-1312975-0-72"/>
    <s v="BCP"/>
    <s v="TRA O/CTA - AGENTE"/>
    <d v="2018-07-05T00:00:00"/>
    <n v="250"/>
    <n v="201807"/>
    <n v="3076357"/>
    <n v="250"/>
    <x v="1"/>
    <x v="2"/>
    <x v="0"/>
    <x v="0"/>
    <x v="1"/>
  </r>
  <r>
    <x v="0"/>
    <s v="193-1312975-0-72"/>
    <s v="BCP"/>
    <s v="TRAN.CTAS.TERC.BM"/>
    <d v="2018-07-05T00:00:00"/>
    <n v="668"/>
    <n v="201807"/>
    <n v="3076069"/>
    <n v="668"/>
    <x v="1"/>
    <x v="2"/>
    <x v="0"/>
    <x v="0"/>
    <x v="1"/>
  </r>
  <r>
    <x v="0"/>
    <s v="193-1312975-0-72"/>
    <s v="BCP"/>
    <s v="TRAN.CTAS.TERC.BM"/>
    <d v="2018-07-05T00:00:00"/>
    <n v="1352"/>
    <n v="201807"/>
    <n v="3076070"/>
    <n v="1352"/>
    <x v="1"/>
    <x v="2"/>
    <x v="0"/>
    <x v="0"/>
    <x v="1"/>
  </r>
  <r>
    <x v="1"/>
    <s v="142-75-0200064790"/>
    <s v="BBVA"/>
    <s v="INGRESO EN EFECTIVO MEGAPLAZA"/>
    <d v="2018-07-05T00:00:00"/>
    <n v="6.1"/>
    <n v="201807"/>
    <n v="3076710"/>
    <n v="20.556999999999999"/>
    <x v="1"/>
    <x v="2"/>
    <x v="0"/>
    <x v="0"/>
    <x v="1"/>
  </r>
  <r>
    <x v="0"/>
    <s v="193-1312975-0-72"/>
    <s v="BCP"/>
    <s v="TRAN.CTAS.TERC.HK"/>
    <d v="2018-07-04T00:00:00"/>
    <n v="200"/>
    <n v="201807"/>
    <n v="3075884"/>
    <n v="200"/>
    <x v="1"/>
    <x v="2"/>
    <x v="0"/>
    <x v="0"/>
    <x v="1"/>
  </r>
  <r>
    <x v="0"/>
    <s v="193-1312975-0-72"/>
    <s v="BCP"/>
    <s v="TRAN.CTAS.TERC.BM"/>
    <d v="2018-07-03T00:00:00"/>
    <n v="999"/>
    <n v="201807"/>
    <n v="3074897"/>
    <n v="999"/>
    <x v="1"/>
    <x v="2"/>
    <x v="0"/>
    <x v="0"/>
    <x v="1"/>
  </r>
  <r>
    <x v="0"/>
    <s v="193-1312975-0-72"/>
    <s v="BCP"/>
    <s v="ENTR.EFEC. 0034226"/>
    <d v="2018-07-02T00:00:00"/>
    <n v="283"/>
    <n v="201807"/>
    <n v="3074684"/>
    <n v="283"/>
    <x v="1"/>
    <x v="2"/>
    <x v="0"/>
    <x v="0"/>
    <x v="1"/>
  </r>
  <r>
    <x v="1"/>
    <s v="193-1342935-1-08"/>
    <s v="BCP"/>
    <s v="ENTREGA C/CHEQUES FUE"/>
    <d v="2018-07-02T00:00:00"/>
    <n v="2763.9"/>
    <n v="201807"/>
    <n v="3074079"/>
    <n v="9314.3430000000008"/>
    <x v="1"/>
    <x v="2"/>
    <x v="0"/>
    <x v="0"/>
    <x v="1"/>
  </r>
  <r>
    <x v="0"/>
    <s v="193-1312975-0-72"/>
    <s v="BCP"/>
    <s v="TRAN.CTAS.TERC.HK"/>
    <d v="2018-06-27T00:00:00"/>
    <n v="6650"/>
    <n v="201806"/>
    <n v="3072996"/>
    <n v="6650"/>
    <x v="1"/>
    <x v="3"/>
    <x v="0"/>
    <x v="0"/>
    <x v="1"/>
  </r>
  <r>
    <x v="0"/>
    <s v="193-1312975-0-72"/>
    <s v="BCP"/>
    <s v="TRA O/CTA SOL ATM"/>
    <d v="2018-06-27T00:00:00"/>
    <n v="12"/>
    <n v="201806"/>
    <n v="3072423"/>
    <n v="12"/>
    <x v="1"/>
    <x v="3"/>
    <x v="0"/>
    <x v="0"/>
    <x v="1"/>
  </r>
  <r>
    <x v="0"/>
    <s v="0661-63-0200043647"/>
    <s v="BBVA"/>
    <s v="INGRESO EN EFECTIVO OF. AEROPUERTO"/>
    <d v="2018-06-25T00:00:00"/>
    <n v="65.400000000000006"/>
    <n v="201806"/>
    <n v="3071340"/>
    <n v="65.400000000000006"/>
    <x v="1"/>
    <x v="3"/>
    <x v="0"/>
    <x v="0"/>
    <x v="1"/>
  </r>
  <r>
    <x v="1"/>
    <s v="193-1342935-1-08"/>
    <s v="BCP"/>
    <s v="DEP EFECT DOL ATM"/>
    <d v="2018-06-25T00:00:00"/>
    <n v="483"/>
    <n v="201806"/>
    <n v="3071166"/>
    <n v="1627.71"/>
    <x v="1"/>
    <x v="3"/>
    <x v="0"/>
    <x v="0"/>
    <x v="1"/>
  </r>
  <r>
    <x v="0"/>
    <s v="044-460-0009-24"/>
    <s v="SCOTIA"/>
    <s v="DEPOSITO EN EFECTIVO"/>
    <d v="2018-06-20T00:00:00"/>
    <n v="88.75"/>
    <n v="201806"/>
    <n v="3070063"/>
    <n v="88.75"/>
    <x v="1"/>
    <x v="3"/>
    <x v="0"/>
    <x v="0"/>
    <x v="1"/>
  </r>
  <r>
    <x v="0"/>
    <s v="193-1312975-0-72"/>
    <s v="BCP"/>
    <s v="TRAN.CTAS.TERC.BM"/>
    <d v="2018-06-16T00:00:00"/>
    <n v="897.65"/>
    <n v="201806"/>
    <n v="3068516"/>
    <n v="897.65"/>
    <x v="1"/>
    <x v="3"/>
    <x v="0"/>
    <x v="0"/>
    <x v="1"/>
  </r>
  <r>
    <x v="0"/>
    <s v="193-1312975-0-72"/>
    <s v="BCP"/>
    <s v="DEP EFECT SOL ATM"/>
    <d v="2018-06-14T00:00:00"/>
    <n v="1700"/>
    <n v="201806"/>
    <n v="3067294"/>
    <n v="1700"/>
    <x v="1"/>
    <x v="3"/>
    <x v="0"/>
    <x v="0"/>
    <x v="1"/>
  </r>
  <r>
    <x v="0"/>
    <s v="0661-63-0200043647"/>
    <s v="BBVA"/>
    <s v="INGRESO EN EFECTIVO G EFECTIVO REDE"/>
    <d v="2018-06-13T00:00:00"/>
    <n v="0.05"/>
    <n v="201806"/>
    <n v="3066851"/>
    <n v="0.05"/>
    <x v="1"/>
    <x v="3"/>
    <x v="0"/>
    <x v="0"/>
    <x v="1"/>
  </r>
  <r>
    <x v="0"/>
    <s v="193-1312975-0-72"/>
    <s v="BCP"/>
    <s v="TRAN.CTAS.TERC.HK"/>
    <d v="2018-06-13T00:00:00"/>
    <n v="200"/>
    <n v="201806"/>
    <n v="3067012"/>
    <n v="200"/>
    <x v="1"/>
    <x v="3"/>
    <x v="0"/>
    <x v="0"/>
    <x v="1"/>
  </r>
  <r>
    <x v="0"/>
    <s v="044-460-0009-24"/>
    <s v="SCOTIA"/>
    <s v="DEPOSITO EN EFECTIVO"/>
    <d v="2018-06-12T00:00:00"/>
    <n v="3.6"/>
    <n v="201806"/>
    <n v="3066526"/>
    <n v="3.6"/>
    <x v="1"/>
    <x v="3"/>
    <x v="0"/>
    <x v="0"/>
    <x v="1"/>
  </r>
  <r>
    <x v="1"/>
    <s v="01-044-460-0006-21"/>
    <s v="SCOTIA"/>
    <s v="DEPOSITO EN EFECTIVO"/>
    <d v="2018-06-12T00:00:00"/>
    <n v="2"/>
    <n v="201806"/>
    <n v="3066527"/>
    <n v="6.74"/>
    <x v="1"/>
    <x v="3"/>
    <x v="0"/>
    <x v="0"/>
    <x v="1"/>
  </r>
  <r>
    <x v="0"/>
    <s v="193-1312975-0-72"/>
    <s v="BCP"/>
    <s v="ENTR.EFEC. 0736638"/>
    <d v="2018-06-07T00:00:00"/>
    <n v="170"/>
    <n v="201806"/>
    <n v="3064741"/>
    <n v="170"/>
    <x v="1"/>
    <x v="3"/>
    <x v="0"/>
    <x v="0"/>
    <x v="1"/>
  </r>
  <r>
    <x v="1"/>
    <s v="193-1342935-1-08"/>
    <s v="BCP"/>
    <s v="ENTR.EFEC. 0830223"/>
    <d v="2018-06-06T00:00:00"/>
    <n v="517.20000000000005"/>
    <n v="201806"/>
    <n v="3064554"/>
    <n v="1742.9640000000002"/>
    <x v="1"/>
    <x v="3"/>
    <x v="0"/>
    <x v="0"/>
    <x v="1"/>
  </r>
  <r>
    <x v="0"/>
    <s v="193-1312975-0-72"/>
    <s v="BCP"/>
    <s v="TRAN.CTAS.TERC.BM"/>
    <d v="2018-06-05T00:00:00"/>
    <n v="2258.91"/>
    <n v="201806"/>
    <n v="3064050"/>
    <n v="2258.91"/>
    <x v="1"/>
    <x v="3"/>
    <x v="0"/>
    <x v="0"/>
    <x v="1"/>
  </r>
  <r>
    <x v="0"/>
    <s v="193-1312975-0-72"/>
    <s v="BCP"/>
    <s v="TRA O/CTA - AGENTE"/>
    <d v="2018-06-05T00:00:00"/>
    <n v="68.7"/>
    <n v="201806"/>
    <n v="3063819"/>
    <n v="68.7"/>
    <x v="1"/>
    <x v="3"/>
    <x v="0"/>
    <x v="0"/>
    <x v="1"/>
  </r>
  <r>
    <x v="1"/>
    <s v="193-1342935-1-08"/>
    <s v="BCP"/>
    <s v="TRAN.CTAS.TERC.HK"/>
    <d v="2018-06-05T00:00:00"/>
    <n v="500"/>
    <n v="201806"/>
    <n v="3063688"/>
    <n v="1685"/>
    <x v="1"/>
    <x v="3"/>
    <x v="0"/>
    <x v="0"/>
    <x v="1"/>
  </r>
  <r>
    <x v="0"/>
    <s v="193-1312975-0-72"/>
    <s v="BCP"/>
    <s v="TRAN.CTAS.TERC.HK"/>
    <d v="2018-06-04T00:00:00"/>
    <n v="600"/>
    <n v="201806"/>
    <n v="3063389"/>
    <n v="600"/>
    <x v="1"/>
    <x v="3"/>
    <x v="0"/>
    <x v="0"/>
    <x v="1"/>
  </r>
  <r>
    <x v="0"/>
    <s v="193-1312975-0-72"/>
    <s v="BCP"/>
    <s v="DE COOP. DE AHORRO Y C"/>
    <d v="2018-06-04T00:00:00"/>
    <n v="600"/>
    <n v="201806"/>
    <n v="3063030"/>
    <n v="600"/>
    <x v="1"/>
    <x v="3"/>
    <x v="0"/>
    <x v="0"/>
    <x v="0"/>
  </r>
  <r>
    <x v="0"/>
    <s v="193-1312975-0-72"/>
    <s v="BCP"/>
    <s v="TRAN.CTAS.TERC.BM"/>
    <d v="2018-06-01T00:00:00"/>
    <n v="1200"/>
    <n v="201806"/>
    <n v="3062459"/>
    <n v="1200"/>
    <x v="1"/>
    <x v="3"/>
    <x v="0"/>
    <x v="0"/>
    <x v="1"/>
  </r>
  <r>
    <x v="0"/>
    <s v="193-1312975-0-72"/>
    <s v="BCP"/>
    <s v="TRA O/CTA SOL ATM"/>
    <d v="2018-06-01T00:00:00"/>
    <n v="210"/>
    <n v="201806"/>
    <n v="3062657"/>
    <n v="210"/>
    <x v="1"/>
    <x v="3"/>
    <x v="0"/>
    <x v="0"/>
    <x v="1"/>
  </r>
  <r>
    <x v="1"/>
    <s v="193-1342935-1-08"/>
    <s v="BCP"/>
    <s v="ENTREGA C/CHEQUES FUE"/>
    <d v="2018-05-31T00:00:00"/>
    <n v="2487.5100000000002"/>
    <n v="201805"/>
    <n v="3061470"/>
    <n v="8382.9087000000018"/>
    <x v="1"/>
    <x v="4"/>
    <x v="0"/>
    <x v="0"/>
    <x v="1"/>
  </r>
  <r>
    <x v="1"/>
    <s v="193-1342935-1-08"/>
    <s v="BCP"/>
    <s v="ENTR.EFEC. 0664402"/>
    <d v="2018-05-23T00:00:00"/>
    <n v="250"/>
    <n v="201805"/>
    <n v="3058132"/>
    <n v="842.5"/>
    <x v="1"/>
    <x v="4"/>
    <x v="0"/>
    <x v="0"/>
    <x v="1"/>
  </r>
  <r>
    <x v="0"/>
    <s v="193-1312975-0-72"/>
    <s v="BCP"/>
    <s v="ENTR.EFEC. 0247012"/>
    <d v="2018-05-22T00:00:00"/>
    <n v="27.6"/>
    <n v="201805"/>
    <n v="3057770"/>
    <n v="27.6"/>
    <x v="1"/>
    <x v="4"/>
    <x v="0"/>
    <x v="0"/>
    <x v="1"/>
  </r>
  <r>
    <x v="1"/>
    <s v="193-1342935-1-08"/>
    <s v="BCP"/>
    <s v="TRAN.CTAS.TERC.BM"/>
    <d v="2018-05-22T00:00:00"/>
    <n v="71.540000000000006"/>
    <n v="201805"/>
    <n v="3057952"/>
    <n v="241.08980000000003"/>
    <x v="1"/>
    <x v="4"/>
    <x v="0"/>
    <x v="0"/>
    <x v="1"/>
  </r>
  <r>
    <x v="0"/>
    <s v="193-1312975-0-72"/>
    <s v="BCP"/>
    <s v="ENTR.EFEC. 0748839"/>
    <d v="2018-05-21T00:00:00"/>
    <n v="4036.9"/>
    <n v="201805"/>
    <n v="3057329"/>
    <n v="4036.9"/>
    <x v="1"/>
    <x v="4"/>
    <x v="0"/>
    <x v="0"/>
    <x v="1"/>
  </r>
  <r>
    <x v="0"/>
    <s v="193-1312975-0-72"/>
    <s v="BCP"/>
    <s v="TRAN.CTAS.TERC.BM"/>
    <d v="2018-05-20T00:00:00"/>
    <n v="812.22"/>
    <n v="201805"/>
    <n v="3056862"/>
    <n v="812.22"/>
    <x v="1"/>
    <x v="4"/>
    <x v="0"/>
    <x v="0"/>
    <x v="1"/>
  </r>
  <r>
    <x v="0"/>
    <s v="041-3000106330"/>
    <s v="IBK"/>
    <s v="DEP.EFECTI - -"/>
    <d v="2018-05-17T00:00:00"/>
    <n v="190"/>
    <n v="201805"/>
    <n v="3056026"/>
    <n v="190"/>
    <x v="1"/>
    <x v="4"/>
    <x v="0"/>
    <x v="0"/>
    <x v="1"/>
  </r>
  <r>
    <x v="0"/>
    <s v="193-1312975-0-72"/>
    <s v="BCP"/>
    <s v="ENTR.EFEC. 0292067"/>
    <d v="2018-05-16T00:00:00"/>
    <n v="2098.8000000000002"/>
    <n v="201805"/>
    <n v="3055444"/>
    <n v="2098.8000000000002"/>
    <x v="1"/>
    <x v="4"/>
    <x v="0"/>
    <x v="0"/>
    <x v="1"/>
  </r>
  <r>
    <x v="0"/>
    <s v="193-1312975-0-72"/>
    <s v="BCP"/>
    <s v="TRAN.CTAS.TERC.HK"/>
    <d v="2018-05-15T00:00:00"/>
    <n v="10"/>
    <n v="201805"/>
    <n v="3055170"/>
    <n v="10"/>
    <x v="1"/>
    <x v="4"/>
    <x v="0"/>
    <x v="0"/>
    <x v="1"/>
  </r>
  <r>
    <x v="0"/>
    <s v="193-1312975-0-72"/>
    <s v="BCP"/>
    <s v="TRA O/CTA - AGENTE"/>
    <d v="2018-05-14T00:00:00"/>
    <n v="12"/>
    <n v="201805"/>
    <n v="3054762"/>
    <n v="12"/>
    <x v="1"/>
    <x v="4"/>
    <x v="0"/>
    <x v="0"/>
    <x v="1"/>
  </r>
  <r>
    <x v="0"/>
    <s v="193-1312975-0-72"/>
    <s v="BCP"/>
    <s v="ENTR.EFEC. 0177374"/>
    <d v="2018-05-12T00:00:00"/>
    <n v="72"/>
    <n v="201805"/>
    <n v="3054278"/>
    <n v="72"/>
    <x v="1"/>
    <x v="4"/>
    <x v="0"/>
    <x v="0"/>
    <x v="1"/>
  </r>
  <r>
    <x v="1"/>
    <s v="193-1342935-1-08"/>
    <s v="BCP"/>
    <s v="TRAN.CTAS.TERC.HK"/>
    <d v="2018-05-11T00:00:00"/>
    <n v="140"/>
    <n v="201805"/>
    <n v="3053976"/>
    <n v="471.8"/>
    <x v="1"/>
    <x v="4"/>
    <x v="0"/>
    <x v="0"/>
    <x v="1"/>
  </r>
  <r>
    <x v="0"/>
    <s v="193-1312975-0-72"/>
    <s v="BCP"/>
    <s v="DE UNIV PERUANA DE CIE"/>
    <d v="2018-05-11T00:00:00"/>
    <n v="90"/>
    <n v="201805"/>
    <n v="3054107"/>
    <n v="90"/>
    <x v="1"/>
    <x v="4"/>
    <x v="0"/>
    <x v="0"/>
    <x v="0"/>
  </r>
  <r>
    <x v="0"/>
    <s v="193-1312975-0-72"/>
    <s v="BCP"/>
    <s v="TRANSF.BCO.SCOTIABANK"/>
    <d v="2018-05-10T00:00:00"/>
    <n v="350"/>
    <n v="201805"/>
    <n v="3053582"/>
    <n v="350"/>
    <x v="1"/>
    <x v="4"/>
    <x v="0"/>
    <x v="0"/>
    <x v="1"/>
  </r>
  <r>
    <x v="1"/>
    <s v="142-75-0200064790"/>
    <s v="BBVA"/>
    <s v="DEVOLUCION BANCA AUTOMATIC"/>
    <d v="2018-05-10T00:00:00"/>
    <n v="590"/>
    <n v="201805"/>
    <n v="3053674"/>
    <n v="1988.3"/>
    <x v="1"/>
    <x v="4"/>
    <x v="0"/>
    <x v="0"/>
    <x v="1"/>
  </r>
  <r>
    <x v="0"/>
    <s v="193-1312975-0-72"/>
    <s v="BCP"/>
    <s v="DE TERRA CONSTRUCCIONE"/>
    <d v="2018-05-10T00:00:00"/>
    <n v="66.37"/>
    <n v="201805"/>
    <n v="3053802"/>
    <n v="66.37"/>
    <x v="1"/>
    <x v="4"/>
    <x v="0"/>
    <x v="0"/>
    <x v="0"/>
  </r>
  <r>
    <x v="0"/>
    <s v="193-1312975-0-72"/>
    <s v="BCP"/>
    <s v="DE EUROCLIMA S.A."/>
    <d v="2018-05-10T00:00:00"/>
    <n v="66.37"/>
    <n v="201805"/>
    <n v="3053803"/>
    <n v="66.37"/>
    <x v="1"/>
    <x v="4"/>
    <x v="0"/>
    <x v="0"/>
    <x v="0"/>
  </r>
  <r>
    <x v="0"/>
    <s v="193-1312975-0-72"/>
    <s v="BCP"/>
    <s v="DE EDIFICIOS Y CONSTRU"/>
    <d v="2018-05-10T00:00:00"/>
    <n v="663.75"/>
    <n v="201805"/>
    <n v="3053792"/>
    <n v="663.75"/>
    <x v="1"/>
    <x v="4"/>
    <x v="0"/>
    <x v="0"/>
    <x v="0"/>
  </r>
  <r>
    <x v="0"/>
    <s v="193-1312975-0-72"/>
    <s v="BCP"/>
    <s v="TRA O/CTA - AGENTE"/>
    <d v="2018-05-09T00:00:00"/>
    <n v="125"/>
    <n v="201805"/>
    <n v="3053377"/>
    <n v="125"/>
    <x v="1"/>
    <x v="4"/>
    <x v="0"/>
    <x v="0"/>
    <x v="1"/>
  </r>
  <r>
    <x v="0"/>
    <s v="193-1312975-0-72"/>
    <s v="BCP"/>
    <s v="TRAN.CTAS.TERC.BM"/>
    <d v="2018-05-07T00:00:00"/>
    <n v="250"/>
    <n v="201805"/>
    <n v="3052162"/>
    <n v="250"/>
    <x v="1"/>
    <x v="4"/>
    <x v="0"/>
    <x v="0"/>
    <x v="1"/>
  </r>
  <r>
    <x v="0"/>
    <s v="193-1312975-0-72"/>
    <s v="BCP"/>
    <s v="ENTR.EFEC. 0178064"/>
    <d v="2018-05-07T00:00:00"/>
    <n v="650"/>
    <n v="201805"/>
    <n v="3052424"/>
    <n v="650"/>
    <x v="1"/>
    <x v="4"/>
    <x v="0"/>
    <x v="0"/>
    <x v="1"/>
  </r>
  <r>
    <x v="0"/>
    <s v="193-1312975-0-72"/>
    <s v="BCP"/>
    <s v="ENTR.EFEC. 0105164"/>
    <d v="2018-05-07T00:00:00"/>
    <n v="96"/>
    <n v="201805"/>
    <n v="3052430"/>
    <n v="96"/>
    <x v="1"/>
    <x v="4"/>
    <x v="0"/>
    <x v="0"/>
    <x v="1"/>
  </r>
  <r>
    <x v="0"/>
    <s v="193-1312975-0-72"/>
    <s v="BCP"/>
    <s v="ENTR.EFEC. 0664888"/>
    <d v="2018-05-05T00:00:00"/>
    <n v="100"/>
    <n v="201805"/>
    <n v="3051652"/>
    <n v="100"/>
    <x v="1"/>
    <x v="4"/>
    <x v="0"/>
    <x v="0"/>
    <x v="1"/>
  </r>
  <r>
    <x v="1"/>
    <s v="193-1342935-1-08"/>
    <s v="BCP"/>
    <s v="ENTR.EFEC. 0875301"/>
    <d v="2018-05-05T00:00:00"/>
    <n v="10000"/>
    <n v="201805"/>
    <n v="3051834"/>
    <n v="33700"/>
    <x v="1"/>
    <x v="4"/>
    <x v="0"/>
    <x v="0"/>
    <x v="1"/>
  </r>
  <r>
    <x v="1"/>
    <s v="01-044-460-0006-21"/>
    <s v="SCOTIA"/>
    <s v="ABUID FERNANDEZ, ANA TERESA"/>
    <d v="2018-05-05T00:00:00"/>
    <n v="126.11"/>
    <n v="201805"/>
    <n v="3051945"/>
    <n v="424.9907"/>
    <x v="1"/>
    <x v="4"/>
    <x v="0"/>
    <x v="0"/>
    <x v="0"/>
  </r>
  <r>
    <x v="0"/>
    <s v="193-1312975-0-72"/>
    <s v="BCP"/>
    <s v="ENTR.EFEC. 0334439"/>
    <d v="2018-05-04T00:00:00"/>
    <n v="200"/>
    <n v="201805"/>
    <n v="3051183"/>
    <n v="200"/>
    <x v="1"/>
    <x v="4"/>
    <x v="0"/>
    <x v="0"/>
    <x v="1"/>
  </r>
  <r>
    <x v="0"/>
    <s v="193-1312975-0-72"/>
    <s v="BCP"/>
    <s v="TRAN.CTAS.TERC.BM"/>
    <d v="2018-05-04T00:00:00"/>
    <n v="80"/>
    <n v="201805"/>
    <n v="3051433"/>
    <n v="80"/>
    <x v="1"/>
    <x v="4"/>
    <x v="0"/>
    <x v="0"/>
    <x v="1"/>
  </r>
  <r>
    <x v="0"/>
    <s v="193-1312975-0-72"/>
    <s v="BCP"/>
    <s v="ENTR.EFEC. 0989154"/>
    <d v="2018-05-03T00:00:00"/>
    <n v="170"/>
    <n v="201805"/>
    <n v="3050627"/>
    <n v="170"/>
    <x v="1"/>
    <x v="4"/>
    <x v="0"/>
    <x v="0"/>
    <x v="1"/>
  </r>
  <r>
    <x v="0"/>
    <s v="193-1312975-0-72"/>
    <s v="BCP"/>
    <s v="TRAN.CTAS.TERC.BM"/>
    <d v="2018-05-03T00:00:00"/>
    <n v="2400"/>
    <n v="201805"/>
    <n v="3050676"/>
    <n v="2400"/>
    <x v="1"/>
    <x v="4"/>
    <x v="0"/>
    <x v="0"/>
    <x v="1"/>
  </r>
  <r>
    <x v="0"/>
    <s v="193-1312975-0-72"/>
    <s v="BCP"/>
    <s v="TRANSF DE OTRA CTA"/>
    <d v="2018-05-02T00:00:00"/>
    <n v="100"/>
    <n v="201805"/>
    <n v="3049309"/>
    <n v="100"/>
    <x v="1"/>
    <x v="4"/>
    <x v="0"/>
    <x v="0"/>
    <x v="1"/>
  </r>
  <r>
    <x v="0"/>
    <s v="193-1312975-0-72"/>
    <s v="BCP"/>
    <s v="TRAN.CTAS.TERC.BM"/>
    <d v="2018-05-02T00:00:00"/>
    <n v="10347"/>
    <n v="201805"/>
    <n v="3049684"/>
    <n v="10347"/>
    <x v="1"/>
    <x v="4"/>
    <x v="0"/>
    <x v="0"/>
    <x v="1"/>
  </r>
  <r>
    <x v="0"/>
    <s v="193-1312975-0-72"/>
    <s v="BCP"/>
    <s v="TRA O/CTA"/>
    <d v="2018-05-01T00:00:00"/>
    <n v="210"/>
    <n v="201805"/>
    <n v="3050021"/>
    <n v="210"/>
    <x v="1"/>
    <x v="4"/>
    <x v="0"/>
    <x v="0"/>
    <x v="1"/>
  </r>
  <r>
    <x v="1"/>
    <s v="193-1342935-1-08"/>
    <s v="BCP"/>
    <s v="ENTR.EFEC. 0358153"/>
    <d v="2018-04-30T00:00:00"/>
    <n v="1000"/>
    <n v="201804"/>
    <n v="3048399"/>
    <n v="3370"/>
    <x v="1"/>
    <x v="5"/>
    <x v="0"/>
    <x v="0"/>
    <x v="1"/>
  </r>
  <r>
    <x v="0"/>
    <s v="193-1312975-0-72"/>
    <s v="BCP"/>
    <s v="TRA O/CTA - AGENTE"/>
    <d v="2018-04-29T00:00:00"/>
    <n v="150"/>
    <n v="201804"/>
    <n v="3048312"/>
    <n v="150"/>
    <x v="1"/>
    <x v="5"/>
    <x v="0"/>
    <x v="0"/>
    <x v="1"/>
  </r>
  <r>
    <x v="0"/>
    <s v="193-1312975-0-72"/>
    <s v="BCP"/>
    <s v="TRA O/CTA - AGENTE"/>
    <d v="2018-04-26T00:00:00"/>
    <n v="10"/>
    <n v="201804"/>
    <n v="3047390"/>
    <n v="10"/>
    <x v="1"/>
    <x v="5"/>
    <x v="0"/>
    <x v="0"/>
    <x v="1"/>
  </r>
  <r>
    <x v="0"/>
    <s v="0661-63-0200043647"/>
    <s v="BBVA"/>
    <s v="*MARTINEZ CUADROS ELIZABETH YOYCE"/>
    <d v="2018-04-26T00:00:00"/>
    <n v="368.3"/>
    <n v="201804"/>
    <n v="3047640"/>
    <n v="368.3"/>
    <x v="1"/>
    <x v="5"/>
    <x v="0"/>
    <x v="0"/>
    <x v="0"/>
  </r>
  <r>
    <x v="0"/>
    <s v="100-0006228"/>
    <s v="BANBIF"/>
    <s v="I/S-240418 I875686"/>
    <d v="2018-04-24T00:00:00"/>
    <n v="10000"/>
    <n v="201804"/>
    <n v="3046117"/>
    <n v="10000"/>
    <x v="1"/>
    <x v="5"/>
    <x v="0"/>
    <x v="0"/>
    <x v="1"/>
  </r>
  <r>
    <x v="1"/>
    <s v="193-1342935-1-08"/>
    <s v="BCP"/>
    <s v="TRAN.CTAS.TERC.BM"/>
    <d v="2018-04-24T00:00:00"/>
    <n v="1000"/>
    <n v="201804"/>
    <n v="3046233"/>
    <n v="3370"/>
    <x v="1"/>
    <x v="5"/>
    <x v="0"/>
    <x v="0"/>
    <x v="1"/>
  </r>
  <r>
    <x v="1"/>
    <s v="01-044-460-0006-21"/>
    <s v="SCOTIA"/>
    <s v="DEPOSITO EN EFECTIVO"/>
    <d v="2018-04-23T00:00:00"/>
    <n v="67.69"/>
    <n v="201804"/>
    <n v="3045911"/>
    <n v="228.11529999999999"/>
    <x v="1"/>
    <x v="5"/>
    <x v="0"/>
    <x v="0"/>
    <x v="1"/>
  </r>
  <r>
    <x v="0"/>
    <s v="0661-63-0200043647"/>
    <s v="BBVA"/>
    <s v="INGRESO EN EFECTIVO O/P"/>
    <d v="2018-04-23T00:00:00"/>
    <n v="110"/>
    <n v="201804"/>
    <n v="3045959"/>
    <n v="110"/>
    <x v="1"/>
    <x v="5"/>
    <x v="0"/>
    <x v="0"/>
    <x v="1"/>
  </r>
  <r>
    <x v="0"/>
    <s v="193-1312975-0-72"/>
    <s v="BCP"/>
    <s v="DEP EFECT SOL ATM"/>
    <d v="2018-04-23T00:00:00"/>
    <n v="1620"/>
    <n v="201804"/>
    <n v="3046040"/>
    <n v="1620"/>
    <x v="1"/>
    <x v="5"/>
    <x v="0"/>
    <x v="0"/>
    <x v="1"/>
  </r>
  <r>
    <x v="1"/>
    <s v="041-3000106347"/>
    <s v="IBK"/>
    <s v="GOYA OSHIRO JOYSSI KAORI"/>
    <d v="2018-04-23T00:00:00"/>
    <n v="950"/>
    <n v="201804"/>
    <n v="3045676"/>
    <n v="3201.5"/>
    <x v="1"/>
    <x v="5"/>
    <x v="0"/>
    <x v="0"/>
    <x v="0"/>
  </r>
  <r>
    <x v="0"/>
    <s v="041-3000106330"/>
    <s v="IBK"/>
    <s v="DEP.EFECTI - -"/>
    <d v="2018-04-21T00:00:00"/>
    <n v="1640"/>
    <n v="201804"/>
    <n v="3045494"/>
    <n v="1640"/>
    <x v="1"/>
    <x v="5"/>
    <x v="0"/>
    <x v="0"/>
    <x v="1"/>
  </r>
  <r>
    <x v="1"/>
    <s v="193-1342935-1-08"/>
    <s v="BCP"/>
    <s v="TRAN.CTAS.TERC.HK"/>
    <d v="2018-04-17T00:00:00"/>
    <n v="4098.6400000000003"/>
    <n v="201804"/>
    <n v="3043011"/>
    <n v="13812.416800000001"/>
    <x v="1"/>
    <x v="5"/>
    <x v="0"/>
    <x v="0"/>
    <x v="1"/>
  </r>
  <r>
    <x v="0"/>
    <s v="193-1312975-0-72"/>
    <s v="BCP"/>
    <s v="ENTR.EFEC. 0829876"/>
    <d v="2018-04-16T00:00:00"/>
    <n v="100"/>
    <n v="201804"/>
    <n v="3042672"/>
    <n v="100"/>
    <x v="1"/>
    <x v="5"/>
    <x v="0"/>
    <x v="0"/>
    <x v="1"/>
  </r>
  <r>
    <x v="0"/>
    <s v="193-1312975-0-72"/>
    <s v="BCP"/>
    <s v="ENTR.EFEC. 0777937"/>
    <d v="2018-04-11T00:00:00"/>
    <n v="210"/>
    <n v="201804"/>
    <n v="3041442"/>
    <n v="210"/>
    <x v="1"/>
    <x v="5"/>
    <x v="0"/>
    <x v="0"/>
    <x v="1"/>
  </r>
  <r>
    <x v="0"/>
    <s v="193-1312975-0-72"/>
    <s v="BCP"/>
    <s v="ENTR.EFEC. 0565310"/>
    <d v="2018-04-10T00:00:00"/>
    <n v="621"/>
    <n v="201804"/>
    <n v="3040952"/>
    <n v="621"/>
    <x v="1"/>
    <x v="5"/>
    <x v="0"/>
    <x v="0"/>
    <x v="1"/>
  </r>
  <r>
    <x v="0"/>
    <s v="193-1312975-0-72"/>
    <s v="BCP"/>
    <s v="ENTR.EFEC. 0167975"/>
    <d v="2018-04-10T00:00:00"/>
    <n v="4250"/>
    <n v="201804"/>
    <n v="3041006"/>
    <n v="4250"/>
    <x v="1"/>
    <x v="5"/>
    <x v="0"/>
    <x v="0"/>
    <x v="1"/>
  </r>
  <r>
    <x v="0"/>
    <s v="193-1312975-0-72"/>
    <s v="BCP"/>
    <s v="TRA O/CTA - AGENTE"/>
    <d v="2018-04-09T00:00:00"/>
    <n v="30"/>
    <n v="201804"/>
    <n v="3040592"/>
    <n v="30"/>
    <x v="1"/>
    <x v="5"/>
    <x v="0"/>
    <x v="0"/>
    <x v="1"/>
  </r>
  <r>
    <x v="0"/>
    <s v="193-1312975-0-72"/>
    <s v="BCP"/>
    <s v="ENTR.EFEC. 0779527"/>
    <d v="2018-04-07T00:00:00"/>
    <n v="840"/>
    <n v="201804"/>
    <n v="3040173"/>
    <n v="840"/>
    <x v="1"/>
    <x v="5"/>
    <x v="0"/>
    <x v="0"/>
    <x v="1"/>
  </r>
  <r>
    <x v="0"/>
    <s v="193-1312975-0-72"/>
    <s v="BCP"/>
    <s v="TRANSF DE OTRA CTA"/>
    <d v="2018-04-07T00:00:00"/>
    <n v="100"/>
    <n v="201804"/>
    <n v="3040275"/>
    <n v="100"/>
    <x v="1"/>
    <x v="5"/>
    <x v="0"/>
    <x v="0"/>
    <x v="1"/>
  </r>
  <r>
    <x v="0"/>
    <s v="193-1312975-0-72"/>
    <s v="BCP"/>
    <s v="TRAN.CTAS.TERC.BM"/>
    <d v="2018-04-06T00:00:00"/>
    <n v="200"/>
    <n v="201804"/>
    <n v="3039773"/>
    <n v="200"/>
    <x v="1"/>
    <x v="5"/>
    <x v="0"/>
    <x v="0"/>
    <x v="1"/>
  </r>
  <r>
    <x v="0"/>
    <s v="193-1312975-0-72"/>
    <s v="BCP"/>
    <s v="ENTR.EFEC. 0543978"/>
    <d v="2018-04-05T00:00:00"/>
    <n v="504"/>
    <n v="201804"/>
    <n v="3038633"/>
    <n v="504"/>
    <x v="1"/>
    <x v="5"/>
    <x v="0"/>
    <x v="0"/>
    <x v="1"/>
  </r>
  <r>
    <x v="0"/>
    <s v="193-1312975-0-72"/>
    <s v="BCP"/>
    <s v="ENTR.EFEC. 0542060"/>
    <d v="2018-04-05T00:00:00"/>
    <n v="160"/>
    <n v="201804"/>
    <n v="3038634"/>
    <n v="160"/>
    <x v="1"/>
    <x v="5"/>
    <x v="0"/>
    <x v="0"/>
    <x v="1"/>
  </r>
  <r>
    <x v="0"/>
    <s v="193-1312975-0-72"/>
    <s v="BCP"/>
    <s v="TRA O/CTA - AGENTE"/>
    <d v="2018-04-04T00:00:00"/>
    <n v="125"/>
    <n v="201804"/>
    <n v="3038314"/>
    <n v="125"/>
    <x v="1"/>
    <x v="5"/>
    <x v="0"/>
    <x v="0"/>
    <x v="1"/>
  </r>
  <r>
    <x v="0"/>
    <s v="193-1312975-0-72"/>
    <s v="BCP"/>
    <s v="ENTR.EFEC. 0065215"/>
    <d v="2018-04-04T00:00:00"/>
    <n v="417"/>
    <n v="201804"/>
    <n v="3038133"/>
    <n v="417"/>
    <x v="1"/>
    <x v="5"/>
    <x v="0"/>
    <x v="0"/>
    <x v="1"/>
  </r>
  <r>
    <x v="0"/>
    <s v="0661-63-0200043647"/>
    <s v="BBVA"/>
    <s v="INGRESO EN EFECTIVO OF.IZAGUIRRE"/>
    <d v="2018-04-03T00:00:00"/>
    <n v="0.06"/>
    <n v="201804"/>
    <n v="3037856"/>
    <n v="0.06"/>
    <x v="1"/>
    <x v="5"/>
    <x v="0"/>
    <x v="0"/>
    <x v="1"/>
  </r>
  <r>
    <x v="1"/>
    <s v="193-1342935-1-08"/>
    <s v="BCP"/>
    <s v="ENTR.EFEC. 0377798"/>
    <d v="2018-04-03T00:00:00"/>
    <n v="50"/>
    <n v="201804"/>
    <n v="3037662"/>
    <n v="168.5"/>
    <x v="1"/>
    <x v="5"/>
    <x v="0"/>
    <x v="0"/>
    <x v="1"/>
  </r>
  <r>
    <x v="0"/>
    <s v="193-1312975-0-72"/>
    <s v="BCP"/>
    <s v="TRAN.CTAS.TERC.HK"/>
    <d v="2018-04-02T00:00:00"/>
    <n v="3250"/>
    <n v="201804"/>
    <n v="3036867"/>
    <n v="3250"/>
    <x v="1"/>
    <x v="5"/>
    <x v="0"/>
    <x v="0"/>
    <x v="1"/>
  </r>
  <r>
    <x v="0"/>
    <s v="193-1312975-0-72"/>
    <s v="BCP"/>
    <s v="TRAN.CTAS.TERC.HK"/>
    <d v="2018-04-02T00:00:00"/>
    <n v="1000"/>
    <n v="201804"/>
    <n v="3037066"/>
    <n v="1000"/>
    <x v="1"/>
    <x v="5"/>
    <x v="0"/>
    <x v="0"/>
    <x v="1"/>
  </r>
  <r>
    <x v="0"/>
    <s v="041-3000106330"/>
    <s v="IBK"/>
    <s v="WINTERHALTER DELPINO KIM MARIE"/>
    <d v="2018-04-02T00:00:00"/>
    <n v="40"/>
    <n v="201804"/>
    <n v="3037427"/>
    <n v="40"/>
    <x v="1"/>
    <x v="5"/>
    <x v="0"/>
    <x v="0"/>
    <x v="0"/>
  </r>
  <r>
    <x v="0"/>
    <s v="193-1312975-0-72"/>
    <s v="BCP"/>
    <s v="ENTR.EFEC. 0011151"/>
    <d v="2018-03-28T00:00:00"/>
    <n v="100"/>
    <n v="201803"/>
    <n v="3035526"/>
    <n v="100"/>
    <x v="1"/>
    <x v="6"/>
    <x v="0"/>
    <x v="0"/>
    <x v="1"/>
  </r>
  <r>
    <x v="0"/>
    <s v="193-1312975-0-72"/>
    <s v="BCP"/>
    <s v="TRAN.CTAS.TERC.HK"/>
    <d v="2018-03-23T00:00:00"/>
    <n v="750"/>
    <n v="201803"/>
    <n v="3033732"/>
    <n v="750"/>
    <x v="1"/>
    <x v="6"/>
    <x v="0"/>
    <x v="0"/>
    <x v="1"/>
  </r>
  <r>
    <x v="0"/>
    <s v="193-1312975-0-72"/>
    <s v="BCP"/>
    <s v="TRA O/CTA - AGENTE"/>
    <d v="2018-03-16T00:00:00"/>
    <n v="125"/>
    <n v="201803"/>
    <n v="3030481"/>
    <n v="125"/>
    <x v="1"/>
    <x v="6"/>
    <x v="0"/>
    <x v="0"/>
    <x v="1"/>
  </r>
  <r>
    <x v="0"/>
    <s v="193-1312975-0-72"/>
    <s v="BCP"/>
    <s v="TRAN.CTAS.TERC.BM"/>
    <d v="2018-03-16T00:00:00"/>
    <n v="685"/>
    <n v="201803"/>
    <n v="3030585"/>
    <n v="685"/>
    <x v="1"/>
    <x v="6"/>
    <x v="0"/>
    <x v="0"/>
    <x v="1"/>
  </r>
  <r>
    <x v="0"/>
    <s v="193-1312975-0-72"/>
    <s v="BCP"/>
    <s v="ENTR.EFEC. 0590930"/>
    <d v="2018-03-14T00:00:00"/>
    <n v="414"/>
    <n v="201803"/>
    <n v="3029499"/>
    <n v="414"/>
    <x v="1"/>
    <x v="6"/>
    <x v="0"/>
    <x v="0"/>
    <x v="1"/>
  </r>
  <r>
    <x v="0"/>
    <s v="193-1312975-0-72"/>
    <s v="BCP"/>
    <s v="ENTR.EFEC. 0518249"/>
    <d v="2018-03-12T00:00:00"/>
    <n v="110"/>
    <n v="201803"/>
    <n v="3028854"/>
    <n v="110"/>
    <x v="1"/>
    <x v="6"/>
    <x v="0"/>
    <x v="0"/>
    <x v="1"/>
  </r>
  <r>
    <x v="1"/>
    <s v="193-1342935-1-08"/>
    <s v="BCP"/>
    <s v="ENTR.EFEC. 0573921"/>
    <d v="2018-03-09T00:00:00"/>
    <n v="231"/>
    <n v="201803"/>
    <n v="3028062"/>
    <n v="778.47"/>
    <x v="1"/>
    <x v="6"/>
    <x v="0"/>
    <x v="0"/>
    <x v="1"/>
  </r>
  <r>
    <x v="0"/>
    <s v="193-1312975-0-72"/>
    <s v="BCP"/>
    <s v="ENTR.EFEC. 0119929"/>
    <d v="2018-03-05T00:00:00"/>
    <n v="3.64"/>
    <n v="201803"/>
    <n v="3025675"/>
    <n v="3.64"/>
    <x v="1"/>
    <x v="6"/>
    <x v="0"/>
    <x v="0"/>
    <x v="1"/>
  </r>
  <r>
    <x v="0"/>
    <s v="193-1312975-0-72"/>
    <s v="BCP"/>
    <s v="TRAN.CTAS.TERC.BM"/>
    <d v="2018-03-04T00:00:00"/>
    <n v="119.2"/>
    <n v="201803"/>
    <n v="3025104"/>
    <n v="119.2"/>
    <x v="1"/>
    <x v="6"/>
    <x v="0"/>
    <x v="0"/>
    <x v="1"/>
  </r>
  <r>
    <x v="1"/>
    <s v="193-1342935-1-08"/>
    <s v="BCP"/>
    <s v="TRAN.CTAS.TERC.BM"/>
    <d v="2018-03-03T00:00:00"/>
    <n v="820"/>
    <n v="201803"/>
    <n v="3025016"/>
    <n v="2763.4"/>
    <x v="1"/>
    <x v="6"/>
    <x v="0"/>
    <x v="0"/>
    <x v="1"/>
  </r>
  <r>
    <x v="0"/>
    <s v="193-1312975-0-72"/>
    <s v="BCP"/>
    <s v="TRA O/CTA - AGENTE"/>
    <d v="2018-03-02T00:00:00"/>
    <n v="125"/>
    <n v="201803"/>
    <n v="3024485"/>
    <n v="125"/>
    <x v="1"/>
    <x v="6"/>
    <x v="0"/>
    <x v="0"/>
    <x v="1"/>
  </r>
  <r>
    <x v="0"/>
    <s v="193-1312975-0-72"/>
    <s v="BCP"/>
    <s v="ENTREGA C/CHEQUES FUE"/>
    <d v="2018-02-28T00:00:00"/>
    <n v="10000"/>
    <n v="201802"/>
    <n v="3023589"/>
    <n v="10000"/>
    <x v="1"/>
    <x v="7"/>
    <x v="0"/>
    <x v="0"/>
    <x v="1"/>
  </r>
  <r>
    <x v="0"/>
    <s v="193-1312975-0-72"/>
    <s v="BCP"/>
    <s v="ENTR.EFEC. 0313058"/>
    <d v="2018-02-28T00:00:00"/>
    <n v="150"/>
    <n v="201802"/>
    <n v="3023259"/>
    <n v="150"/>
    <x v="1"/>
    <x v="7"/>
    <x v="0"/>
    <x v="0"/>
    <x v="1"/>
  </r>
  <r>
    <x v="0"/>
    <s v="193-1312975-0-72"/>
    <s v="BCP"/>
    <s v="TRANSF DE OTRA CTA"/>
    <d v="2018-02-28T00:00:00"/>
    <n v="300"/>
    <n v="201802"/>
    <n v="3023312"/>
    <n v="300"/>
    <x v="1"/>
    <x v="7"/>
    <x v="0"/>
    <x v="0"/>
    <x v="1"/>
  </r>
  <r>
    <x v="0"/>
    <s v="193-1312975-0-72"/>
    <s v="BCP"/>
    <s v="ENTR.EFEC. 0339497"/>
    <d v="2018-02-22T00:00:00"/>
    <n v="16.5"/>
    <n v="201802"/>
    <n v="3020780"/>
    <n v="16.5"/>
    <x v="1"/>
    <x v="7"/>
    <x v="0"/>
    <x v="0"/>
    <x v="1"/>
  </r>
  <r>
    <x v="0"/>
    <s v="193-1312975-0-72"/>
    <s v="BCP"/>
    <s v="ENTR.EFEC. 0439298"/>
    <d v="2018-02-22T00:00:00"/>
    <n v="450"/>
    <n v="201802"/>
    <n v="3020709"/>
    <n v="450"/>
    <x v="1"/>
    <x v="7"/>
    <x v="0"/>
    <x v="0"/>
    <x v="1"/>
  </r>
  <r>
    <x v="0"/>
    <s v="193-1312975-0-72"/>
    <s v="BCP"/>
    <s v="TRA O/CTA"/>
    <d v="2018-02-22T00:00:00"/>
    <n v="3015"/>
    <n v="201802"/>
    <n v="3021076"/>
    <n v="3015"/>
    <x v="1"/>
    <x v="7"/>
    <x v="0"/>
    <x v="0"/>
    <x v="1"/>
  </r>
  <r>
    <x v="0"/>
    <s v="193-1312975-0-72"/>
    <s v="BCP"/>
    <s v="ENTR.EFEC. 0346968"/>
    <d v="2018-02-21T00:00:00"/>
    <n v="828"/>
    <n v="201802"/>
    <n v="3020108"/>
    <n v="828"/>
    <x v="1"/>
    <x v="7"/>
    <x v="0"/>
    <x v="0"/>
    <x v="1"/>
  </r>
  <r>
    <x v="0"/>
    <s v="193-1312975-0-72"/>
    <s v="BCP"/>
    <s v="ENTR.EFEC. 0343369"/>
    <d v="2018-02-21T00:00:00"/>
    <n v="2220"/>
    <n v="201802"/>
    <n v="3020111"/>
    <n v="2220"/>
    <x v="1"/>
    <x v="7"/>
    <x v="0"/>
    <x v="0"/>
    <x v="1"/>
  </r>
  <r>
    <x v="0"/>
    <s v="193-1312975-0-72"/>
    <s v="BCP"/>
    <s v="TRA O/CTA - AGENTE"/>
    <d v="2018-02-17T00:00:00"/>
    <n v="125"/>
    <n v="201802"/>
    <n v="3018847"/>
    <n v="125"/>
    <x v="1"/>
    <x v="7"/>
    <x v="0"/>
    <x v="0"/>
    <x v="1"/>
  </r>
  <r>
    <x v="0"/>
    <s v="193-1312975-0-72"/>
    <s v="BCP"/>
    <s v="TRAN.CTAS.TERC.BM"/>
    <d v="2018-02-16T00:00:00"/>
    <n v="408"/>
    <n v="201802"/>
    <n v="3018270"/>
    <n v="408"/>
    <x v="1"/>
    <x v="7"/>
    <x v="0"/>
    <x v="0"/>
    <x v="1"/>
  </r>
  <r>
    <x v="1"/>
    <s v="193-1342935-1-08"/>
    <s v="BCP"/>
    <s v="ENTR.EFEC. 0487216"/>
    <d v="2018-02-15T00:00:00"/>
    <n v="648"/>
    <n v="201802"/>
    <n v="3018186"/>
    <n v="2183.7600000000002"/>
    <x v="1"/>
    <x v="7"/>
    <x v="0"/>
    <x v="0"/>
    <x v="1"/>
  </r>
  <r>
    <x v="0"/>
    <s v="193-1312975-0-72"/>
    <s v="BCP"/>
    <s v="ENTR.EFEC. 0568493"/>
    <d v="2018-02-14T00:00:00"/>
    <n v="100"/>
    <n v="201802"/>
    <n v="3017586"/>
    <n v="100"/>
    <x v="1"/>
    <x v="7"/>
    <x v="0"/>
    <x v="0"/>
    <x v="1"/>
  </r>
  <r>
    <x v="0"/>
    <s v="193-1312975-0-72"/>
    <s v="BCP"/>
    <s v="ENTR.EFEC. 0108105"/>
    <d v="2018-02-12T00:00:00"/>
    <n v="200"/>
    <n v="201802"/>
    <n v="3016835"/>
    <n v="200"/>
    <x v="1"/>
    <x v="7"/>
    <x v="0"/>
    <x v="0"/>
    <x v="1"/>
  </r>
  <r>
    <x v="0"/>
    <s v="193-1312975-0-72"/>
    <s v="BCP"/>
    <s v="ENTR.EFEC. 0714493"/>
    <d v="2018-02-10T00:00:00"/>
    <n v="3800"/>
    <n v="201802"/>
    <n v="3016419"/>
    <n v="3800"/>
    <x v="1"/>
    <x v="7"/>
    <x v="0"/>
    <x v="0"/>
    <x v="1"/>
  </r>
  <r>
    <x v="1"/>
    <s v="193-1342935-1-08"/>
    <s v="BCP"/>
    <s v="TRANSF DE OTRA CTA"/>
    <d v="2018-02-10T00:00:00"/>
    <n v="100"/>
    <n v="201802"/>
    <n v="3016412"/>
    <n v="337"/>
    <x v="1"/>
    <x v="7"/>
    <x v="0"/>
    <x v="0"/>
    <x v="1"/>
  </r>
  <r>
    <x v="1"/>
    <s v="01-044-460-0006-21"/>
    <s v="SCOTIA"/>
    <s v="DUPEYRAT T, CARMEN O CORDOVA D, ALF"/>
    <d v="2018-02-10T00:00:00"/>
    <n v="3000"/>
    <n v="201802"/>
    <n v="3016351"/>
    <n v="10110"/>
    <x v="1"/>
    <x v="7"/>
    <x v="0"/>
    <x v="0"/>
    <x v="0"/>
  </r>
  <r>
    <x v="0"/>
    <s v="041-3000106330"/>
    <s v="IBK"/>
    <s v="DEP.EFECTI - -"/>
    <d v="2018-02-08T00:00:00"/>
    <n v="100"/>
    <n v="201802"/>
    <n v="3015761"/>
    <n v="100"/>
    <x v="1"/>
    <x v="7"/>
    <x v="0"/>
    <x v="0"/>
    <x v="1"/>
  </r>
  <r>
    <x v="0"/>
    <s v="193-03308674-0-93"/>
    <s v="BCP"/>
    <s v="TRANSF DE OTRA CTA"/>
    <d v="2018-02-07T00:00:00"/>
    <n v="30000"/>
    <n v="201802"/>
    <n v="3015208"/>
    <n v="30000"/>
    <x v="1"/>
    <x v="7"/>
    <x v="0"/>
    <x v="0"/>
    <x v="1"/>
  </r>
  <r>
    <x v="0"/>
    <s v="193-1312975-0-72"/>
    <s v="BCP"/>
    <s v="ENTR.EFEC. 0604375"/>
    <d v="2018-02-07T00:00:00"/>
    <n v="65.959999999999994"/>
    <n v="201802"/>
    <n v="3015250"/>
    <n v="65.959999999999994"/>
    <x v="1"/>
    <x v="7"/>
    <x v="0"/>
    <x v="0"/>
    <x v="1"/>
  </r>
  <r>
    <x v="1"/>
    <s v="193-1342935-1-08"/>
    <s v="BCP"/>
    <s v="ENTR.EFEC. 0601497"/>
    <d v="2018-02-07T00:00:00"/>
    <n v="116.37"/>
    <n v="201802"/>
    <n v="3015101"/>
    <n v="392.16690000000006"/>
    <x v="1"/>
    <x v="7"/>
    <x v="0"/>
    <x v="0"/>
    <x v="1"/>
  </r>
  <r>
    <x v="0"/>
    <s v="0661-63-0200043647"/>
    <s v="BBVA"/>
    <s v="INGRESO EN EFECTIVO C.C.MONTERRICO"/>
    <d v="2018-02-06T00:00:00"/>
    <n v="800"/>
    <n v="201802"/>
    <n v="3014613"/>
    <n v="800"/>
    <x v="1"/>
    <x v="7"/>
    <x v="0"/>
    <x v="0"/>
    <x v="1"/>
  </r>
  <r>
    <x v="0"/>
    <s v="193-1312975-0-72"/>
    <s v="BCP"/>
    <s v="TRAN.CTAS.TERC.BM"/>
    <d v="2018-02-06T00:00:00"/>
    <n v="150"/>
    <n v="201802"/>
    <n v="3014706"/>
    <n v="150"/>
    <x v="1"/>
    <x v="7"/>
    <x v="0"/>
    <x v="0"/>
    <x v="1"/>
  </r>
  <r>
    <x v="0"/>
    <s v="193-1312975-0-72"/>
    <s v="BCP"/>
    <s v="TRAN.CTAS.TERC.BM"/>
    <d v="2018-02-04T00:00:00"/>
    <n v="570"/>
    <n v="201802"/>
    <n v="3013462"/>
    <n v="570"/>
    <x v="1"/>
    <x v="7"/>
    <x v="0"/>
    <x v="0"/>
    <x v="1"/>
  </r>
  <r>
    <x v="0"/>
    <s v="041-3000106330"/>
    <s v="IBK"/>
    <s v="DEP.EFECTI - -"/>
    <d v="2018-02-03T00:00:00"/>
    <n v="110"/>
    <n v="201802"/>
    <n v="3013263"/>
    <n v="110"/>
    <x v="1"/>
    <x v="7"/>
    <x v="0"/>
    <x v="0"/>
    <x v="1"/>
  </r>
  <r>
    <x v="0"/>
    <s v="0661-63-0200043647"/>
    <s v="BBVA"/>
    <s v="INGRESO EN EFECTIVO OF.JOCKEY PLAZA"/>
    <d v="2018-02-02T00:00:00"/>
    <n v="1600"/>
    <n v="201802"/>
    <n v="3012876"/>
    <n v="1600"/>
    <x v="1"/>
    <x v="7"/>
    <x v="0"/>
    <x v="0"/>
    <x v="1"/>
  </r>
  <r>
    <x v="0"/>
    <s v="193-1312975-0-72"/>
    <s v="BCP"/>
    <s v="ENTR.EFEC. 0955903"/>
    <d v="2018-02-02T00:00:00"/>
    <n v="693.41"/>
    <n v="201802"/>
    <n v="3013036"/>
    <n v="693.41"/>
    <x v="1"/>
    <x v="7"/>
    <x v="0"/>
    <x v="0"/>
    <x v="1"/>
  </r>
  <r>
    <x v="0"/>
    <s v="193-1312975-0-72"/>
    <s v="BCP"/>
    <s v="TRAN.CTAS.TERC.BM"/>
    <d v="2018-02-02T00:00:00"/>
    <n v="900"/>
    <n v="201802"/>
    <n v="3012936"/>
    <n v="900"/>
    <x v="1"/>
    <x v="7"/>
    <x v="0"/>
    <x v="0"/>
    <x v="1"/>
  </r>
  <r>
    <x v="0"/>
    <s v="044-460-0009-24"/>
    <s v="SCOTIA"/>
    <s v="NUÑEZ DEL PRADO VIDAL, JOSE"/>
    <d v="2018-02-02T00:00:00"/>
    <n v="1620"/>
    <n v="201802"/>
    <n v="3012753"/>
    <n v="1620"/>
    <x v="1"/>
    <x v="7"/>
    <x v="0"/>
    <x v="0"/>
    <x v="0"/>
  </r>
  <r>
    <x v="0"/>
    <s v="041-3000106330"/>
    <s v="IBK"/>
    <s v="DEP.EFECTI - -"/>
    <d v="2018-02-01T00:00:00"/>
    <n v="320"/>
    <n v="201802"/>
    <n v="3012259"/>
    <n v="320"/>
    <x v="1"/>
    <x v="7"/>
    <x v="0"/>
    <x v="0"/>
    <x v="1"/>
  </r>
  <r>
    <x v="0"/>
    <s v="193-1312975-0-72"/>
    <s v="BCP"/>
    <s v="ENTR.EFEC. 0900482"/>
    <d v="2018-02-01T00:00:00"/>
    <n v="10"/>
    <n v="201802"/>
    <n v="3012331"/>
    <n v="10"/>
    <x v="1"/>
    <x v="7"/>
    <x v="0"/>
    <x v="0"/>
    <x v="1"/>
  </r>
  <r>
    <x v="0"/>
    <s v="193-1312975-0-72"/>
    <s v="BCP"/>
    <s v="ENTR.EFEC. 0899873"/>
    <d v="2018-02-01T00:00:00"/>
    <n v="10"/>
    <n v="201802"/>
    <n v="3012332"/>
    <n v="10"/>
    <x v="1"/>
    <x v="7"/>
    <x v="0"/>
    <x v="0"/>
    <x v="1"/>
  </r>
  <r>
    <x v="0"/>
    <s v="193-1312975-0-72"/>
    <s v="BCP"/>
    <s v="ENTR.EFEC. 0899801"/>
    <d v="2018-02-01T00:00:00"/>
    <n v="10"/>
    <n v="201802"/>
    <n v="3012333"/>
    <n v="10"/>
    <x v="1"/>
    <x v="7"/>
    <x v="0"/>
    <x v="0"/>
    <x v="1"/>
  </r>
  <r>
    <x v="0"/>
    <s v="193-1312975-0-72"/>
    <s v="BCP"/>
    <s v="ENTR.EFEC. 0899739"/>
    <d v="2018-02-01T00:00:00"/>
    <n v="10"/>
    <n v="201802"/>
    <n v="3012334"/>
    <n v="10"/>
    <x v="1"/>
    <x v="7"/>
    <x v="0"/>
    <x v="0"/>
    <x v="1"/>
  </r>
  <r>
    <x v="0"/>
    <s v="193-1312975-0-72"/>
    <s v="BCP"/>
    <s v="TRAN.CTAS.TERC.BM"/>
    <d v="2018-02-01T00:00:00"/>
    <n v="1"/>
    <n v="201802"/>
    <n v="3012737"/>
    <n v="1"/>
    <x v="1"/>
    <x v="7"/>
    <x v="0"/>
    <x v="0"/>
    <x v="1"/>
  </r>
  <r>
    <x v="1"/>
    <s v="193-1342935-1-08"/>
    <s v="BCP"/>
    <s v="TRAN.CTAS.TERC.HK"/>
    <d v="2018-02-01T00:00:00"/>
    <n v="675.1"/>
    <n v="201802"/>
    <n v="3012298"/>
    <n v="2275.087"/>
    <x v="1"/>
    <x v="7"/>
    <x v="0"/>
    <x v="0"/>
    <x v="1"/>
  </r>
  <r>
    <x v="0"/>
    <s v="044-460-0009-24"/>
    <s v="SCOTIA"/>
    <s v="NAGAHAMA YARA, MARIA ELENA"/>
    <d v="2018-02-01T00:00:00"/>
    <n v="250"/>
    <n v="201802"/>
    <n v="3012213"/>
    <n v="250"/>
    <x v="1"/>
    <x v="7"/>
    <x v="0"/>
    <x v="0"/>
    <x v="0"/>
  </r>
  <r>
    <x v="0"/>
    <s v="0661-63-0200043647"/>
    <s v="BBVA"/>
    <s v="APORTES CARTA FIANZA"/>
    <d v="2018-01-31T00:00:00"/>
    <n v="205"/>
    <n v="201801"/>
    <n v="3012097"/>
    <n v="205"/>
    <x v="1"/>
    <x v="8"/>
    <x v="0"/>
    <x v="0"/>
    <x v="1"/>
  </r>
  <r>
    <x v="0"/>
    <s v="193-0054433-0-27"/>
    <s v="BCP"/>
    <s v="DEVOL X PAGO DTRACCION"/>
    <d v="2018-01-31T00:00:00"/>
    <n v="478"/>
    <n v="201801"/>
    <n v="3012081"/>
    <n v="478"/>
    <x v="1"/>
    <x v="8"/>
    <x v="0"/>
    <x v="0"/>
    <x v="1"/>
  </r>
  <r>
    <x v="0"/>
    <s v="193-1312975-0-72"/>
    <s v="BCP"/>
    <s v="TRANSF DE OTRA CTA"/>
    <d v="2018-01-31T00:00:00"/>
    <n v="333.99"/>
    <n v="201801"/>
    <n v="3011437"/>
    <n v="333.99"/>
    <x v="1"/>
    <x v="8"/>
    <x v="0"/>
    <x v="0"/>
    <x v="1"/>
  </r>
  <r>
    <x v="0"/>
    <s v="193-1312975-0-72"/>
    <s v="BCP"/>
    <s v="ENTR.EFEC. 0735685"/>
    <d v="2018-01-30T00:00:00"/>
    <n v="200"/>
    <n v="201801"/>
    <n v="3011098"/>
    <n v="200"/>
    <x v="1"/>
    <x v="8"/>
    <x v="0"/>
    <x v="0"/>
    <x v="1"/>
  </r>
  <r>
    <x v="0"/>
    <s v="193-1312975-0-72"/>
    <s v="BCP"/>
    <s v="ENTR.EFEC. 0591590"/>
    <d v="2018-01-27T00:00:00"/>
    <n v="31"/>
    <n v="201801"/>
    <n v="3010240"/>
    <n v="31"/>
    <x v="1"/>
    <x v="8"/>
    <x v="0"/>
    <x v="0"/>
    <x v="1"/>
  </r>
  <r>
    <x v="0"/>
    <s v="193-1312975-0-72"/>
    <s v="BCP"/>
    <s v="ENTR.EFEC. 0554773"/>
    <d v="2018-01-25T00:00:00"/>
    <n v="75.5"/>
    <n v="201801"/>
    <n v="3009128"/>
    <n v="75.5"/>
    <x v="1"/>
    <x v="8"/>
    <x v="0"/>
    <x v="0"/>
    <x v="1"/>
  </r>
  <r>
    <x v="0"/>
    <s v="044-460-0009-24"/>
    <s v="SCOTIA"/>
    <s v="DEPOSITO EN EFECTIVO"/>
    <d v="2018-01-24T00:00:00"/>
    <n v="160"/>
    <n v="201801"/>
    <n v="3008702"/>
    <n v="160"/>
    <x v="1"/>
    <x v="8"/>
    <x v="0"/>
    <x v="0"/>
    <x v="1"/>
  </r>
  <r>
    <x v="1"/>
    <s v="193-1342935-1-08"/>
    <s v="BCP"/>
    <s v="ENTR.EFEC. 0008815"/>
    <d v="2018-01-22T00:00:00"/>
    <n v="5"/>
    <n v="201801"/>
    <n v="3007685"/>
    <n v="16.850000000000001"/>
    <x v="1"/>
    <x v="8"/>
    <x v="0"/>
    <x v="0"/>
    <x v="1"/>
  </r>
  <r>
    <x v="0"/>
    <s v="0661-63-0200043647"/>
    <s v="BBVA"/>
    <s v="DEPOS. EN CTA. 001106610200043647"/>
    <d v="2018-01-20T00:00:00"/>
    <n v="450"/>
    <n v="201801"/>
    <n v="3007483"/>
    <n v="450"/>
    <x v="1"/>
    <x v="8"/>
    <x v="0"/>
    <x v="0"/>
    <x v="1"/>
  </r>
  <r>
    <x v="0"/>
    <s v="193-1312975-0-72"/>
    <s v="BCP"/>
    <s v="TRAN.CTAS.TERC.BM"/>
    <d v="2018-01-18T00:00:00"/>
    <n v="350"/>
    <n v="201801"/>
    <n v="3006824"/>
    <n v="350"/>
    <x v="1"/>
    <x v="8"/>
    <x v="0"/>
    <x v="0"/>
    <x v="1"/>
  </r>
  <r>
    <x v="0"/>
    <s v="193-1312975-0-72"/>
    <s v="BCP"/>
    <s v="ENTR.EFEC. 0698946"/>
    <d v="2018-01-17T00:00:00"/>
    <n v="5982.2"/>
    <n v="201801"/>
    <n v="3006110"/>
    <n v="5982.2"/>
    <x v="1"/>
    <x v="8"/>
    <x v="0"/>
    <x v="0"/>
    <x v="1"/>
  </r>
  <r>
    <x v="1"/>
    <s v="193-1342935-1-08"/>
    <s v="BCP"/>
    <s v="TRANSF DE OTRA CTA"/>
    <d v="2018-01-17T00:00:00"/>
    <n v="855"/>
    <n v="201801"/>
    <n v="3006273"/>
    <n v="2881.35"/>
    <x v="1"/>
    <x v="8"/>
    <x v="0"/>
    <x v="0"/>
    <x v="1"/>
  </r>
  <r>
    <x v="0"/>
    <s v="193-1312975-0-72"/>
    <s v="BCP"/>
    <s v="ENTR.EFEC. 0675006"/>
    <d v="2018-01-12T00:00:00"/>
    <n v="256.2"/>
    <n v="201801"/>
    <n v="3004556"/>
    <n v="256.2"/>
    <x v="1"/>
    <x v="8"/>
    <x v="0"/>
    <x v="0"/>
    <x v="1"/>
  </r>
  <r>
    <x v="0"/>
    <s v="193-1312975-0-72"/>
    <s v="BCP"/>
    <s v="ENTR.EFEC. 0837946"/>
    <d v="2018-01-11T00:00:00"/>
    <n v="50"/>
    <n v="201801"/>
    <n v="3004066"/>
    <n v="50"/>
    <x v="1"/>
    <x v="8"/>
    <x v="0"/>
    <x v="0"/>
    <x v="1"/>
  </r>
  <r>
    <x v="0"/>
    <s v="193-1312975-0-72"/>
    <s v="BCP"/>
    <s v="ENTR.EFEC. 0152117"/>
    <d v="2018-01-10T00:00:00"/>
    <n v="366.6"/>
    <n v="201801"/>
    <n v="3003527"/>
    <n v="366.6"/>
    <x v="1"/>
    <x v="8"/>
    <x v="0"/>
    <x v="0"/>
    <x v="1"/>
  </r>
  <r>
    <x v="0"/>
    <s v="0661-63-0200043647"/>
    <s v="BBVA"/>
    <s v="INSCRIPCION PETIT THOUARS"/>
    <d v="2018-01-09T00:00:00"/>
    <n v="220"/>
    <n v="201801"/>
    <n v="3003053"/>
    <n v="220"/>
    <x v="1"/>
    <x v="8"/>
    <x v="0"/>
    <x v="0"/>
    <x v="1"/>
  </r>
  <r>
    <x v="0"/>
    <s v="193-1312975-0-72"/>
    <s v="BCP"/>
    <s v="ENTR.EFEC. 0706420"/>
    <d v="2018-01-09T00:00:00"/>
    <n v="120"/>
    <n v="201801"/>
    <n v="3003034"/>
    <n v="120"/>
    <x v="1"/>
    <x v="8"/>
    <x v="0"/>
    <x v="0"/>
    <x v="1"/>
  </r>
  <r>
    <x v="1"/>
    <s v="193-1342935-1-08"/>
    <s v="BCP"/>
    <s v="ENTR.EFEC. 0769160"/>
    <d v="2018-01-09T00:00:00"/>
    <n v="597.37"/>
    <n v="201801"/>
    <n v="3003281"/>
    <n v="2013.1369"/>
    <x v="1"/>
    <x v="8"/>
    <x v="0"/>
    <x v="0"/>
    <x v="1"/>
  </r>
  <r>
    <x v="0"/>
    <s v="193-1312975-0-72"/>
    <s v="BCP"/>
    <s v="ENTR.EFEC. 0605234"/>
    <d v="2018-01-05T00:00:00"/>
    <n v="2729.1"/>
    <n v="201801"/>
    <n v="3001431"/>
    <n v="2729.1"/>
    <x v="1"/>
    <x v="8"/>
    <x v="0"/>
    <x v="0"/>
    <x v="1"/>
  </r>
  <r>
    <x v="1"/>
    <s v="193-1342935-1-08"/>
    <s v="BCP"/>
    <s v="TRANSF DE OTRA CTA"/>
    <d v="2018-01-05T00:00:00"/>
    <n v="160"/>
    <n v="201801"/>
    <n v="3002154"/>
    <n v="539.20000000000005"/>
    <x v="1"/>
    <x v="8"/>
    <x v="0"/>
    <x v="0"/>
    <x v="1"/>
  </r>
  <r>
    <x v="0"/>
    <s v="193-1312975-0-72"/>
    <s v="BCP"/>
    <s v="ENTR.EFEC. 0650112"/>
    <d v="2018-01-04T00:00:00"/>
    <n v="1350"/>
    <n v="201801"/>
    <n v="3000845"/>
    <n v="1350"/>
    <x v="1"/>
    <x v="8"/>
    <x v="0"/>
    <x v="0"/>
    <x v="1"/>
  </r>
  <r>
    <x v="0"/>
    <s v="193-1312975-0-72"/>
    <s v="BCP"/>
    <s v="TRA O/CTA - AGENTE"/>
    <d v="2018-01-04T00:00:00"/>
    <n v="200"/>
    <n v="201801"/>
    <n v="3000913"/>
    <n v="200"/>
    <x v="1"/>
    <x v="8"/>
    <x v="0"/>
    <x v="0"/>
    <x v="1"/>
  </r>
  <r>
    <x v="1"/>
    <s v="142-75-0200064790"/>
    <s v="BBVA"/>
    <s v="INGRESO EN EFECTIVO OF.CAMINOS DEL"/>
    <d v="2018-01-04T00:00:00"/>
    <n v="900.91"/>
    <n v="201801"/>
    <n v="3001142"/>
    <n v="3036.0666999999999"/>
    <x v="1"/>
    <x v="8"/>
    <x v="0"/>
    <x v="0"/>
    <x v="1"/>
  </r>
  <r>
    <x v="0"/>
    <s v="193-1312975-0-72"/>
    <s v="BCP"/>
    <s v="TRA O/CTA - AGENTE"/>
    <d v="2018-01-03T00:00:00"/>
    <n v="65.400000000000006"/>
    <n v="201801"/>
    <n v="3000261"/>
    <n v="65.400000000000006"/>
    <x v="1"/>
    <x v="8"/>
    <x v="0"/>
    <x v="0"/>
    <x v="1"/>
  </r>
  <r>
    <x v="1"/>
    <s v="193-1342935-1-08"/>
    <s v="BCP"/>
    <s v="ENTR.EFEC. 0584199"/>
    <d v="2017-12-30T00:00:00"/>
    <n v="10"/>
    <n v="201712"/>
    <n v="3421547"/>
    <n v="33.700000000000003"/>
    <x v="2"/>
    <x v="9"/>
    <x v="0"/>
    <x v="0"/>
    <x v="1"/>
  </r>
  <r>
    <x v="0"/>
    <s v="193-1312975-0-72"/>
    <s v="BCP"/>
    <s v="TRAN.CTAS.TERC.HK"/>
    <d v="2017-12-29T00:00:00"/>
    <n v="300"/>
    <n v="201712"/>
    <n v="3421370"/>
    <n v="300"/>
    <x v="2"/>
    <x v="9"/>
    <x v="0"/>
    <x v="0"/>
    <x v="1"/>
  </r>
  <r>
    <x v="0"/>
    <s v="193-1312975-0-72"/>
    <s v="BCP"/>
    <s v="TRANSF DE OTRA CTA"/>
    <d v="2017-12-29T00:00:00"/>
    <n v="300"/>
    <n v="201712"/>
    <n v="3420861"/>
    <n v="300"/>
    <x v="2"/>
    <x v="9"/>
    <x v="0"/>
    <x v="0"/>
    <x v="1"/>
  </r>
  <r>
    <x v="0"/>
    <s v="193-1312975-0-72"/>
    <s v="BCP"/>
    <s v="ENTR.EFEC. 0666316"/>
    <d v="2017-12-29T00:00:00"/>
    <n v="65.400000000000006"/>
    <n v="201712"/>
    <n v="3420866"/>
    <n v="65.400000000000006"/>
    <x v="2"/>
    <x v="9"/>
    <x v="0"/>
    <x v="0"/>
    <x v="1"/>
  </r>
  <r>
    <x v="0"/>
    <s v="0661-63-0200043647"/>
    <s v="BBVA"/>
    <s v="PACIFICO BANCA AUTOMATIC"/>
    <d v="2017-12-28T00:00:00"/>
    <n v="230"/>
    <n v="201712"/>
    <n v="3420221"/>
    <n v="230"/>
    <x v="2"/>
    <x v="9"/>
    <x v="0"/>
    <x v="0"/>
    <x v="1"/>
  </r>
  <r>
    <x v="0"/>
    <s v="193-1312975-0-72"/>
    <s v="BCP"/>
    <s v="TRAN.CTAS.TERC.BM"/>
    <d v="2017-12-28T00:00:00"/>
    <n v="300"/>
    <n v="201712"/>
    <n v="3419936"/>
    <n v="300"/>
    <x v="2"/>
    <x v="9"/>
    <x v="0"/>
    <x v="0"/>
    <x v="1"/>
  </r>
  <r>
    <x v="0"/>
    <s v="193-1312975-0-72"/>
    <s v="BCP"/>
    <s v="ENTR.EFEC. 0919003"/>
    <d v="2017-12-28T00:00:00"/>
    <n v="4250"/>
    <n v="201712"/>
    <n v="3419795"/>
    <n v="4250"/>
    <x v="2"/>
    <x v="9"/>
    <x v="0"/>
    <x v="0"/>
    <x v="1"/>
  </r>
  <r>
    <x v="0"/>
    <s v="193-1312975-0-72"/>
    <s v="BCP"/>
    <s v="ENTR.EFEC. 0889461"/>
    <d v="2017-12-28T00:00:00"/>
    <n v="100"/>
    <n v="201712"/>
    <n v="3419796"/>
    <n v="100"/>
    <x v="2"/>
    <x v="9"/>
    <x v="0"/>
    <x v="0"/>
    <x v="1"/>
  </r>
  <r>
    <x v="0"/>
    <s v="193-1312975-0-72"/>
    <s v="BCP"/>
    <s v="ENTR.EFEC. 0890655"/>
    <d v="2017-12-28T00:00:00"/>
    <n v="100"/>
    <n v="201712"/>
    <n v="3419799"/>
    <n v="100"/>
    <x v="2"/>
    <x v="9"/>
    <x v="0"/>
    <x v="0"/>
    <x v="1"/>
  </r>
  <r>
    <x v="0"/>
    <s v="193-1312975-0-72"/>
    <s v="BCP"/>
    <s v="TRAN.CTAS.TERC.BM"/>
    <d v="2017-12-28T00:00:00"/>
    <n v="304"/>
    <n v="201712"/>
    <n v="3419811"/>
    <n v="304"/>
    <x v="2"/>
    <x v="9"/>
    <x v="0"/>
    <x v="0"/>
    <x v="1"/>
  </r>
  <r>
    <x v="1"/>
    <s v="100-0005134"/>
    <s v="BANBIF"/>
    <s v="I/T-281217 I327222"/>
    <d v="2017-12-28T00:00:00"/>
    <n v="23106.76"/>
    <n v="201712"/>
    <n v="3420533"/>
    <n v="77869.781199999998"/>
    <x v="2"/>
    <x v="9"/>
    <x v="0"/>
    <x v="0"/>
    <x v="1"/>
  </r>
  <r>
    <x v="0"/>
    <s v="193-1312975-0-72"/>
    <s v="BCP"/>
    <s v="TRANSF DE OTRA CTA"/>
    <d v="2017-12-27T00:00:00"/>
    <n v="1155"/>
    <n v="201712"/>
    <n v="3419532"/>
    <n v="1155"/>
    <x v="2"/>
    <x v="9"/>
    <x v="0"/>
    <x v="0"/>
    <x v="1"/>
  </r>
  <r>
    <x v="0"/>
    <s v="193-1312975-0-72"/>
    <s v="BCP"/>
    <s v="ENTR.EFEC. 0351062"/>
    <d v="2017-12-27T00:00:00"/>
    <n v="30"/>
    <n v="201712"/>
    <n v="3419222"/>
    <n v="30"/>
    <x v="2"/>
    <x v="9"/>
    <x v="0"/>
    <x v="0"/>
    <x v="1"/>
  </r>
  <r>
    <x v="0"/>
    <s v="193-1312975-0-72"/>
    <s v="BCP"/>
    <s v="TRANSF DE OTRA CTA"/>
    <d v="2017-12-27T00:00:00"/>
    <n v="15"/>
    <n v="201712"/>
    <n v="3419196"/>
    <n v="15"/>
    <x v="2"/>
    <x v="9"/>
    <x v="0"/>
    <x v="0"/>
    <x v="1"/>
  </r>
  <r>
    <x v="0"/>
    <s v="193-1312975-0-72"/>
    <s v="BCP"/>
    <s v="ENTR.EFEC. 0723602"/>
    <d v="2017-12-26T00:00:00"/>
    <n v="5100"/>
    <n v="201712"/>
    <n v="3418690"/>
    <n v="5100"/>
    <x v="2"/>
    <x v="9"/>
    <x v="0"/>
    <x v="0"/>
    <x v="1"/>
  </r>
  <r>
    <x v="1"/>
    <s v="193-1342935-1-08"/>
    <s v="BCP"/>
    <s v="TRANSF.BCO.SCOTIABANK"/>
    <d v="2017-12-26T00:00:00"/>
    <n v="708"/>
    <n v="201712"/>
    <n v="3418880"/>
    <n v="2385.96"/>
    <x v="2"/>
    <x v="9"/>
    <x v="0"/>
    <x v="0"/>
    <x v="1"/>
  </r>
  <r>
    <x v="1"/>
    <s v="194-09096274-1-54"/>
    <s v="BCP"/>
    <s v="DEP.EN EFECTIVO"/>
    <d v="2017-12-26T00:00:00"/>
    <n v="122.61"/>
    <n v="201712"/>
    <n v="3418728"/>
    <n v="413.19569999999999"/>
    <x v="2"/>
    <x v="9"/>
    <x v="0"/>
    <x v="0"/>
    <x v="1"/>
  </r>
  <r>
    <x v="0"/>
    <s v="193-1312975-0-72"/>
    <s v="BCP"/>
    <s v="DE COOP.DE AHORRO Y CR"/>
    <d v="2017-12-22T00:00:00"/>
    <n v="60"/>
    <n v="201712"/>
    <n v="3417710"/>
    <n v="60"/>
    <x v="2"/>
    <x v="9"/>
    <x v="0"/>
    <x v="0"/>
    <x v="0"/>
  </r>
  <r>
    <x v="1"/>
    <s v="193-1342935-1-08"/>
    <s v="BCP"/>
    <s v="TRA O/CTA"/>
    <d v="2017-12-21T00:00:00"/>
    <n v="0.38"/>
    <n v="201712"/>
    <n v="3417385"/>
    <n v="1.2806"/>
    <x v="2"/>
    <x v="9"/>
    <x v="0"/>
    <x v="0"/>
    <x v="1"/>
  </r>
  <r>
    <x v="0"/>
    <s v="193-1312975-0-72"/>
    <s v="BCP"/>
    <s v="TRAN.CTAS.TERC.BM"/>
    <d v="2017-12-16T00:00:00"/>
    <n v="897.65"/>
    <n v="201712"/>
    <n v="3415160"/>
    <n v="897.65"/>
    <x v="2"/>
    <x v="9"/>
    <x v="0"/>
    <x v="0"/>
    <x v="1"/>
  </r>
  <r>
    <x v="0"/>
    <s v="193-1312975-0-72"/>
    <s v="BCP"/>
    <s v="TRAN.CTAS.TERC.BM"/>
    <d v="2017-12-15T00:00:00"/>
    <n v="1000"/>
    <n v="201712"/>
    <n v="3415015"/>
    <n v="1000"/>
    <x v="2"/>
    <x v="9"/>
    <x v="0"/>
    <x v="0"/>
    <x v="1"/>
  </r>
  <r>
    <x v="0"/>
    <s v="193-1312975-0-72"/>
    <s v="BCP"/>
    <s v="ENTR.EFEC. 0071875"/>
    <d v="2017-12-14T00:00:00"/>
    <n v="218"/>
    <n v="201712"/>
    <n v="3413978"/>
    <n v="218"/>
    <x v="2"/>
    <x v="9"/>
    <x v="0"/>
    <x v="0"/>
    <x v="1"/>
  </r>
  <r>
    <x v="0"/>
    <s v="193-1312975-0-72"/>
    <s v="BCP"/>
    <s v="TRANSF DE OTRA CTA"/>
    <d v="2017-12-13T00:00:00"/>
    <n v="200"/>
    <n v="201712"/>
    <n v="3413516"/>
    <n v="200"/>
    <x v="2"/>
    <x v="9"/>
    <x v="0"/>
    <x v="0"/>
    <x v="1"/>
  </r>
  <r>
    <x v="1"/>
    <s v="193-1342935-1-08"/>
    <s v="BCP"/>
    <s v="TRANSF DE OTRA CTA"/>
    <d v="2017-12-12T00:00:00"/>
    <n v="10000"/>
    <n v="201712"/>
    <n v="3412903"/>
    <n v="33700"/>
    <x v="2"/>
    <x v="9"/>
    <x v="0"/>
    <x v="0"/>
    <x v="1"/>
  </r>
  <r>
    <x v="0"/>
    <s v="193-1312975-0-72"/>
    <s v="BCP"/>
    <s v="ENTR.EFEC. 0759533"/>
    <d v="2017-12-11T00:00:00"/>
    <n v="527.25"/>
    <n v="201712"/>
    <n v="3412369"/>
    <n v="527.25"/>
    <x v="2"/>
    <x v="9"/>
    <x v="0"/>
    <x v="0"/>
    <x v="1"/>
  </r>
  <r>
    <x v="0"/>
    <s v="193-1312975-0-72"/>
    <s v="BCP"/>
    <s v="DEP EFECT SOL ATM"/>
    <d v="2017-12-11T00:00:00"/>
    <n v="850"/>
    <n v="201712"/>
    <n v="3412177"/>
    <n v="850"/>
    <x v="2"/>
    <x v="9"/>
    <x v="0"/>
    <x v="0"/>
    <x v="1"/>
  </r>
  <r>
    <x v="0"/>
    <s v="0661-63-0200043647"/>
    <s v="BBVA"/>
    <s v="INGRESO EN EFECTIVO OF. AEROPUERTO"/>
    <d v="2017-12-09T00:00:00"/>
    <n v="11.78"/>
    <n v="201712"/>
    <n v="3412099"/>
    <n v="11.78"/>
    <x v="2"/>
    <x v="9"/>
    <x v="0"/>
    <x v="0"/>
    <x v="1"/>
  </r>
  <r>
    <x v="0"/>
    <s v="193-1312975-0-72"/>
    <s v="BCP"/>
    <s v="ENTR.EFEC. 0308627"/>
    <d v="2017-12-09T00:00:00"/>
    <n v="1550"/>
    <n v="201712"/>
    <n v="3412071"/>
    <n v="1550"/>
    <x v="2"/>
    <x v="9"/>
    <x v="0"/>
    <x v="0"/>
    <x v="1"/>
  </r>
  <r>
    <x v="0"/>
    <s v="193-1312975-0-72"/>
    <s v="BCP"/>
    <s v="TRA O/CTA - AGENTE"/>
    <d v="2017-12-07T00:00:00"/>
    <n v="300"/>
    <n v="201712"/>
    <n v="3411844"/>
    <n v="300"/>
    <x v="2"/>
    <x v="9"/>
    <x v="0"/>
    <x v="0"/>
    <x v="1"/>
  </r>
  <r>
    <x v="1"/>
    <s v="193-1342935-1-08"/>
    <s v="BCP"/>
    <s v="TRANSF DE OTRA CTA"/>
    <d v="2017-12-07T00:00:00"/>
    <n v="135"/>
    <n v="201712"/>
    <n v="3411828"/>
    <n v="454.95"/>
    <x v="2"/>
    <x v="9"/>
    <x v="0"/>
    <x v="0"/>
    <x v="1"/>
  </r>
  <r>
    <x v="1"/>
    <s v="193-1342935-1-08"/>
    <s v="BCP"/>
    <s v="ENTR.EFEC. 0125657"/>
    <d v="2017-12-07T00:00:00"/>
    <n v="694.5"/>
    <n v="201712"/>
    <n v="3411919"/>
    <n v="2340.4650000000001"/>
    <x v="2"/>
    <x v="9"/>
    <x v="0"/>
    <x v="0"/>
    <x v="1"/>
  </r>
  <r>
    <x v="0"/>
    <s v="041-3000106330"/>
    <s v="IBK"/>
    <s v="ASATO YREIMON YOVANA"/>
    <d v="2017-12-05T00:00:00"/>
    <n v="400"/>
    <n v="201712"/>
    <n v="3410148"/>
    <n v="400"/>
    <x v="2"/>
    <x v="9"/>
    <x v="0"/>
    <x v="0"/>
    <x v="0"/>
  </r>
  <r>
    <x v="0"/>
    <s v="193-1312975-0-72"/>
    <s v="BCP"/>
    <s v="ENTR.EFEC. 0139629"/>
    <d v="2017-12-04T00:00:00"/>
    <n v="200"/>
    <n v="201712"/>
    <n v="3409630"/>
    <n v="200"/>
    <x v="2"/>
    <x v="9"/>
    <x v="0"/>
    <x v="0"/>
    <x v="1"/>
  </r>
  <r>
    <x v="1"/>
    <s v="193-1342935-1-08"/>
    <s v="BCP"/>
    <s v="TRANSF DE OTRA CTA"/>
    <d v="2017-12-02T00:00:00"/>
    <n v="10000"/>
    <n v="201712"/>
    <n v="3409346"/>
    <n v="33700"/>
    <x v="2"/>
    <x v="9"/>
    <x v="0"/>
    <x v="0"/>
    <x v="1"/>
  </r>
  <r>
    <x v="0"/>
    <s v="193-1312975-0-72"/>
    <s v="BCP"/>
    <s v="TRA O/CTA - AGENTE"/>
    <d v="2017-12-01T00:00:00"/>
    <n v="100"/>
    <n v="201712"/>
    <n v="3408851"/>
    <n v="100"/>
    <x v="2"/>
    <x v="9"/>
    <x v="0"/>
    <x v="0"/>
    <x v="1"/>
  </r>
  <r>
    <x v="0"/>
    <s v="193-1312975-0-72"/>
    <s v="BCP"/>
    <s v="TRA O/CTA"/>
    <d v="2017-12-01T00:00:00"/>
    <n v="300"/>
    <n v="201712"/>
    <n v="3409182"/>
    <n v="300"/>
    <x v="2"/>
    <x v="9"/>
    <x v="0"/>
    <x v="0"/>
    <x v="1"/>
  </r>
  <r>
    <x v="0"/>
    <s v="001-106-8594-21"/>
    <s v="SCOTIA"/>
    <s v="TBK-PAGO PROVEEDORES"/>
    <d v="2017-11-30T00:00:00"/>
    <n v="5728.04"/>
    <n v="201711"/>
    <n v="3408688"/>
    <n v="5728.04"/>
    <x v="2"/>
    <x v="10"/>
    <x v="0"/>
    <x v="0"/>
    <x v="1"/>
  </r>
  <r>
    <x v="0"/>
    <s v="044-460-0009-24"/>
    <s v="SCOTIA"/>
    <s v="TRANSFERENCIA ENTRE CUENTAS"/>
    <d v="2017-11-30T00:00:00"/>
    <n v="250"/>
    <n v="201711"/>
    <n v="3408258"/>
    <n v="250"/>
    <x v="2"/>
    <x v="10"/>
    <x v="0"/>
    <x v="0"/>
    <x v="1"/>
  </r>
  <r>
    <x v="0"/>
    <s v="193-1312975-0-72"/>
    <s v="BCP"/>
    <s v="TRAN.CTAS.TERC.BM"/>
    <d v="2017-11-30T00:00:00"/>
    <n v="360"/>
    <n v="201711"/>
    <n v="3407958"/>
    <n v="360"/>
    <x v="2"/>
    <x v="10"/>
    <x v="0"/>
    <x v="0"/>
    <x v="1"/>
  </r>
  <r>
    <x v="0"/>
    <s v="193-1312975-0-72"/>
    <s v="BCP"/>
    <s v="ENTR.EFEC. 0770422"/>
    <d v="2017-11-27T00:00:00"/>
    <n v="480.3"/>
    <n v="201711"/>
    <n v="3406397"/>
    <n v="480.3"/>
    <x v="2"/>
    <x v="10"/>
    <x v="0"/>
    <x v="0"/>
    <x v="1"/>
  </r>
  <r>
    <x v="0"/>
    <s v="193-1312975-0-72"/>
    <s v="BCP"/>
    <s v="ENTR.EFEC. 0309540"/>
    <d v="2017-11-25T00:00:00"/>
    <n v="1272.3"/>
    <n v="201711"/>
    <n v="3406071"/>
    <n v="1272.3"/>
    <x v="2"/>
    <x v="10"/>
    <x v="0"/>
    <x v="0"/>
    <x v="1"/>
  </r>
  <r>
    <x v="0"/>
    <s v="193-1312975-0-72"/>
    <s v="BCP"/>
    <s v="CHEQUE POR CONFIRMAR"/>
    <d v="2017-11-24T00:00:00"/>
    <n v="4998"/>
    <n v="201711"/>
    <n v="3405804"/>
    <n v="4998"/>
    <x v="2"/>
    <x v="10"/>
    <x v="0"/>
    <x v="0"/>
    <x v="1"/>
  </r>
  <r>
    <x v="0"/>
    <s v="193-1312975-0-72"/>
    <s v="BCP"/>
    <s v="TRAN.CTAS.TERC.BM"/>
    <d v="2017-11-24T00:00:00"/>
    <n v="1000"/>
    <n v="201711"/>
    <n v="3405913"/>
    <n v="1000"/>
    <x v="2"/>
    <x v="10"/>
    <x v="0"/>
    <x v="0"/>
    <x v="1"/>
  </r>
  <r>
    <x v="1"/>
    <s v="193-1342935-1-08"/>
    <s v="BCP"/>
    <s v="ENTR.EFEC. 0333454"/>
    <d v="2017-11-21T00:00:00"/>
    <n v="260.52"/>
    <n v="201711"/>
    <n v="3403812"/>
    <n v="877.95240000000001"/>
    <x v="2"/>
    <x v="10"/>
    <x v="0"/>
    <x v="0"/>
    <x v="1"/>
  </r>
  <r>
    <x v="0"/>
    <s v="193-1312975-0-72"/>
    <s v="BCP"/>
    <s v="ENTR.EFEC. 0230402"/>
    <d v="2017-11-20T00:00:00"/>
    <n v="196.2"/>
    <n v="201711"/>
    <n v="3403167"/>
    <n v="196.2"/>
    <x v="2"/>
    <x v="10"/>
    <x v="0"/>
    <x v="0"/>
    <x v="1"/>
  </r>
  <r>
    <x v="0"/>
    <s v="044-460-0009-24"/>
    <s v="SCOTIA"/>
    <s v="DEPOSITO EN EFECTIVO"/>
    <d v="2017-11-17T00:00:00"/>
    <n v="60"/>
    <n v="201711"/>
    <n v="3402212"/>
    <n v="60"/>
    <x v="2"/>
    <x v="10"/>
    <x v="0"/>
    <x v="0"/>
    <x v="1"/>
  </r>
  <r>
    <x v="0"/>
    <s v="041-3000106330"/>
    <s v="IBK"/>
    <s v="YREIMON HINOJOSA CARLOS YOSEI"/>
    <d v="2017-11-15T00:00:00"/>
    <n v="350"/>
    <n v="201711"/>
    <n v="3401687"/>
    <n v="350"/>
    <x v="2"/>
    <x v="10"/>
    <x v="0"/>
    <x v="0"/>
    <x v="0"/>
  </r>
  <r>
    <x v="0"/>
    <s v="193-1312975-0-72"/>
    <s v="BCP"/>
    <s v="ENTR.EFEC. 0136795"/>
    <d v="2017-11-14T00:00:00"/>
    <n v="3000"/>
    <n v="201711"/>
    <n v="3401046"/>
    <n v="3000"/>
    <x v="2"/>
    <x v="10"/>
    <x v="0"/>
    <x v="0"/>
    <x v="1"/>
  </r>
  <r>
    <x v="0"/>
    <s v="193-1312975-0-72"/>
    <s v="BCP"/>
    <s v="TRANSF DE OTRA CTA"/>
    <d v="2017-11-13T00:00:00"/>
    <n v="1500"/>
    <n v="201711"/>
    <n v="3400983"/>
    <n v="1500"/>
    <x v="2"/>
    <x v="10"/>
    <x v="0"/>
    <x v="0"/>
    <x v="1"/>
  </r>
  <r>
    <x v="0"/>
    <s v="193-1312975-0-72"/>
    <s v="BCP"/>
    <s v="TRA O/CTA"/>
    <d v="2017-11-13T00:00:00"/>
    <n v="250"/>
    <n v="201711"/>
    <n v="3400997"/>
    <n v="250"/>
    <x v="2"/>
    <x v="10"/>
    <x v="0"/>
    <x v="0"/>
    <x v="1"/>
  </r>
  <r>
    <x v="0"/>
    <s v="044-460-0009-24"/>
    <s v="SCOTIA"/>
    <s v="DEPOSITO EN EFECTIVO"/>
    <d v="2017-11-10T00:00:00"/>
    <n v="0.1"/>
    <n v="201711"/>
    <n v="3400407"/>
    <n v="0.1"/>
    <x v="2"/>
    <x v="10"/>
    <x v="0"/>
    <x v="0"/>
    <x v="1"/>
  </r>
  <r>
    <x v="1"/>
    <s v="194-09096274-1-54"/>
    <s v="BCP"/>
    <s v="DEP.EN EFECTIVO"/>
    <d v="2017-11-10T00:00:00"/>
    <n v="122.82"/>
    <n v="201711"/>
    <n v="3400197"/>
    <n v="413.90339999999998"/>
    <x v="2"/>
    <x v="10"/>
    <x v="0"/>
    <x v="0"/>
    <x v="1"/>
  </r>
  <r>
    <x v="0"/>
    <s v="0661-63-0200043647"/>
    <s v="BBVA"/>
    <s v="44052438 G EFECTIVO REDE"/>
    <d v="2017-11-09T00:00:00"/>
    <n v="18"/>
    <n v="201711"/>
    <n v="3399555"/>
    <n v="18"/>
    <x v="2"/>
    <x v="10"/>
    <x v="0"/>
    <x v="0"/>
    <x v="1"/>
  </r>
  <r>
    <x v="0"/>
    <s v="193-1312975-0-72"/>
    <s v="BCP"/>
    <s v="TRA O/CTA - AGENTE"/>
    <d v="2017-11-08T00:00:00"/>
    <n v="280"/>
    <n v="201711"/>
    <n v="3399104"/>
    <n v="280"/>
    <x v="2"/>
    <x v="10"/>
    <x v="0"/>
    <x v="0"/>
    <x v="1"/>
  </r>
  <r>
    <x v="1"/>
    <s v="193-1342935-1-08"/>
    <s v="BCP"/>
    <s v="TRAN.CTAS.TERC.BM"/>
    <d v="2017-11-08T00:00:00"/>
    <n v="900"/>
    <n v="201711"/>
    <n v="3399369"/>
    <n v="3033"/>
    <x v="2"/>
    <x v="10"/>
    <x v="0"/>
    <x v="0"/>
    <x v="1"/>
  </r>
  <r>
    <x v="0"/>
    <s v="193-1312975-0-72"/>
    <s v="BCP"/>
    <s v="ENTR.EFEC. 0642884"/>
    <d v="2017-11-06T00:00:00"/>
    <n v="1"/>
    <n v="201711"/>
    <n v="3398170"/>
    <n v="1"/>
    <x v="2"/>
    <x v="10"/>
    <x v="0"/>
    <x v="0"/>
    <x v="1"/>
  </r>
  <r>
    <x v="1"/>
    <s v="193-1342935-1-08"/>
    <s v="BCP"/>
    <s v="ENTR.EFEC. 0641490"/>
    <d v="2017-11-06T00:00:00"/>
    <n v="1"/>
    <n v="201711"/>
    <n v="3398160"/>
    <n v="3.37"/>
    <x v="2"/>
    <x v="10"/>
    <x v="0"/>
    <x v="0"/>
    <x v="1"/>
  </r>
  <r>
    <x v="0"/>
    <s v="193-1312975-0-72"/>
    <s v="BCP"/>
    <s v="TRAN.CTAS.TERC.BM"/>
    <d v="2017-11-04T00:00:00"/>
    <n v="360"/>
    <n v="201711"/>
    <n v="3397455"/>
    <n v="360"/>
    <x v="2"/>
    <x v="10"/>
    <x v="0"/>
    <x v="0"/>
    <x v="1"/>
  </r>
  <r>
    <x v="1"/>
    <s v="193-1342935-1-08"/>
    <s v="BCP"/>
    <s v="TRANSF DE OTRA CTA"/>
    <d v="2017-11-04T00:00:00"/>
    <n v="60"/>
    <n v="201711"/>
    <n v="3397522"/>
    <n v="202.20000000000002"/>
    <x v="2"/>
    <x v="10"/>
    <x v="0"/>
    <x v="0"/>
    <x v="1"/>
  </r>
  <r>
    <x v="0"/>
    <s v="041-3000106330"/>
    <s v="IBK"/>
    <s v="DEP.EFECTI - -"/>
    <d v="2017-11-02T00:00:00"/>
    <n v="356"/>
    <n v="201711"/>
    <n v="3396765"/>
    <n v="356"/>
    <x v="2"/>
    <x v="10"/>
    <x v="0"/>
    <x v="0"/>
    <x v="1"/>
  </r>
  <r>
    <x v="0"/>
    <s v="044-460-0009-24"/>
    <s v="SCOTIA"/>
    <s v="TRANSFERENCIA ENTRE CUENTAS"/>
    <d v="2017-10-30T00:00:00"/>
    <n v="420"/>
    <n v="201710"/>
    <n v="3394791"/>
    <n v="420"/>
    <x v="2"/>
    <x v="11"/>
    <x v="0"/>
    <x v="0"/>
    <x v="1"/>
  </r>
  <r>
    <x v="0"/>
    <s v="193-1312975-0-72"/>
    <s v="BCP"/>
    <s v="TRAN.CTAS.TERC.BM"/>
    <d v="2017-10-30T00:00:00"/>
    <n v="480"/>
    <n v="201710"/>
    <n v="3394989"/>
    <n v="480"/>
    <x v="2"/>
    <x v="11"/>
    <x v="0"/>
    <x v="0"/>
    <x v="1"/>
  </r>
  <r>
    <x v="0"/>
    <s v="193-1312975-0-72"/>
    <s v="BCP"/>
    <s v="TRAN.CTAS.TERC.BM"/>
    <d v="2017-10-30T00:00:00"/>
    <n v="70"/>
    <n v="201710"/>
    <n v="3395074"/>
    <n v="70"/>
    <x v="2"/>
    <x v="11"/>
    <x v="0"/>
    <x v="0"/>
    <x v="1"/>
  </r>
  <r>
    <x v="0"/>
    <s v="193-1312975-0-72"/>
    <s v="BCP"/>
    <s v="TRA O/CTA - AGENTE"/>
    <d v="2017-10-30T00:00:00"/>
    <n v="1000"/>
    <n v="201710"/>
    <n v="3395266"/>
    <n v="1000"/>
    <x v="2"/>
    <x v="11"/>
    <x v="0"/>
    <x v="0"/>
    <x v="1"/>
  </r>
  <r>
    <x v="0"/>
    <s v="193-1312975-0-72"/>
    <s v="BCP"/>
    <s v="TRANSF DE OTRA CTA"/>
    <d v="2017-10-28T00:00:00"/>
    <n v="120"/>
    <n v="201710"/>
    <n v="3394647"/>
    <n v="120"/>
    <x v="2"/>
    <x v="11"/>
    <x v="0"/>
    <x v="0"/>
    <x v="1"/>
  </r>
  <r>
    <x v="0"/>
    <s v="193-1312975-0-72"/>
    <s v="BCP"/>
    <s v="ENTR.EFEC. 0000149"/>
    <d v="2017-10-27T00:00:00"/>
    <n v="600"/>
    <n v="201710"/>
    <n v="3394210"/>
    <n v="600"/>
    <x v="2"/>
    <x v="11"/>
    <x v="0"/>
    <x v="0"/>
    <x v="1"/>
  </r>
  <r>
    <x v="0"/>
    <s v="193-1312975-0-72"/>
    <s v="BCP"/>
    <s v="DE COOPERAT.DE AHORRO"/>
    <d v="2017-10-23T00:00:00"/>
    <n v="9772.99"/>
    <n v="201710"/>
    <n v="3392000"/>
    <n v="9772.99"/>
    <x v="2"/>
    <x v="11"/>
    <x v="0"/>
    <x v="0"/>
    <x v="0"/>
  </r>
  <r>
    <x v="0"/>
    <s v="193-1312975-0-72"/>
    <s v="BCP"/>
    <s v="TRA O/CTA - AGENTE"/>
    <d v="2017-10-21T00:00:00"/>
    <n v="200"/>
    <n v="201710"/>
    <n v="3391679"/>
    <n v="200"/>
    <x v="2"/>
    <x v="11"/>
    <x v="0"/>
    <x v="0"/>
    <x v="1"/>
  </r>
  <r>
    <x v="0"/>
    <s v="193-1312975-0-72"/>
    <s v="BCP"/>
    <s v="ENTR.EFEC. 0922259"/>
    <d v="2017-10-19T00:00:00"/>
    <n v="200"/>
    <n v="201710"/>
    <n v="3390516"/>
    <n v="200"/>
    <x v="2"/>
    <x v="11"/>
    <x v="0"/>
    <x v="0"/>
    <x v="1"/>
  </r>
  <r>
    <x v="0"/>
    <s v="193-1312975-0-72"/>
    <s v="BCP"/>
    <s v="TRANSF DE OTRA CTA"/>
    <d v="2017-10-19T00:00:00"/>
    <n v="640"/>
    <n v="201710"/>
    <n v="3390674"/>
    <n v="640"/>
    <x v="2"/>
    <x v="11"/>
    <x v="0"/>
    <x v="0"/>
    <x v="1"/>
  </r>
  <r>
    <x v="0"/>
    <s v="193-1312975-0-72"/>
    <s v="BCP"/>
    <s v="TRA O/CTA - AGENTE"/>
    <d v="2017-10-16T00:00:00"/>
    <n v="100"/>
    <n v="201710"/>
    <n v="3389381"/>
    <n v="100"/>
    <x v="2"/>
    <x v="11"/>
    <x v="0"/>
    <x v="0"/>
    <x v="1"/>
  </r>
  <r>
    <x v="0"/>
    <s v="0661-63-0200043647"/>
    <s v="BBVA"/>
    <s v="GRECY VILMA CASTRO ROJAS"/>
    <d v="2017-10-16T00:00:00"/>
    <n v="6500"/>
    <n v="201710"/>
    <n v="3389170"/>
    <n v="6500"/>
    <x v="2"/>
    <x v="11"/>
    <x v="0"/>
    <x v="0"/>
    <x v="0"/>
  </r>
  <r>
    <x v="0"/>
    <s v="044-460-0009-24"/>
    <s v="SCOTIA"/>
    <s v="TBK-PAGO PROVEEDORES"/>
    <d v="2017-10-11T00:00:00"/>
    <n v="130"/>
    <n v="201710"/>
    <n v="3387574"/>
    <n v="130"/>
    <x v="2"/>
    <x v="11"/>
    <x v="0"/>
    <x v="0"/>
    <x v="1"/>
  </r>
  <r>
    <x v="1"/>
    <s v="193-1342935-1-08"/>
    <s v="BCP"/>
    <s v="TRANSF DE OTRA CTA"/>
    <d v="2017-10-11T00:00:00"/>
    <n v="139.22"/>
    <n v="201710"/>
    <n v="3387440"/>
    <n v="469.17140000000001"/>
    <x v="2"/>
    <x v="11"/>
    <x v="0"/>
    <x v="0"/>
    <x v="1"/>
  </r>
  <r>
    <x v="0"/>
    <s v="044-460-0009-24"/>
    <s v="SCOTIA"/>
    <s v="TBK-PAGO PROVEEDORES"/>
    <d v="2017-10-09T00:00:00"/>
    <n v="140"/>
    <n v="201710"/>
    <n v="3386655"/>
    <n v="140"/>
    <x v="2"/>
    <x v="11"/>
    <x v="0"/>
    <x v="0"/>
    <x v="1"/>
  </r>
  <r>
    <x v="0"/>
    <s v="193-1312975-0-72"/>
    <s v="BCP"/>
    <s v="ENTR.EFEC. 0963832"/>
    <d v="2017-10-09T00:00:00"/>
    <n v="79.2"/>
    <n v="201710"/>
    <n v="3386338"/>
    <n v="79.2"/>
    <x v="2"/>
    <x v="11"/>
    <x v="0"/>
    <x v="0"/>
    <x v="1"/>
  </r>
  <r>
    <x v="0"/>
    <s v="193-1312975-0-72"/>
    <s v="BCP"/>
    <s v="ENTR.EFEC. 0963504"/>
    <d v="2017-10-09T00:00:00"/>
    <n v="130.80000000000001"/>
    <n v="201710"/>
    <n v="3386339"/>
    <n v="130.80000000000001"/>
    <x v="2"/>
    <x v="11"/>
    <x v="0"/>
    <x v="0"/>
    <x v="1"/>
  </r>
  <r>
    <x v="0"/>
    <s v="0661-63-0200043647"/>
    <s v="BBVA"/>
    <s v="INGRESO EN EFECTIVO OF. C.C. ATOCON"/>
    <d v="2017-10-06T00:00:00"/>
    <n v="120"/>
    <n v="201710"/>
    <n v="3385792"/>
    <n v="120"/>
    <x v="2"/>
    <x v="11"/>
    <x v="0"/>
    <x v="0"/>
    <x v="1"/>
  </r>
  <r>
    <x v="0"/>
    <s v="193-1312975-0-72"/>
    <s v="BCP"/>
    <s v="ENTR.EFEC. 0706406"/>
    <d v="2017-10-06T00:00:00"/>
    <n v="2321.4899999999998"/>
    <n v="201710"/>
    <n v="3385724"/>
    <n v="2321.4899999999998"/>
    <x v="2"/>
    <x v="11"/>
    <x v="0"/>
    <x v="0"/>
    <x v="1"/>
  </r>
  <r>
    <x v="0"/>
    <s v="2604-1"/>
    <s v="AELU"/>
    <s v="TRF. DE: 0020775-1-2-003 Pago de prestamos"/>
    <d v="2017-10-06T00:00:00"/>
    <n v="300"/>
    <n v="201710"/>
    <n v="3385687"/>
    <n v="300"/>
    <x v="2"/>
    <x v="11"/>
    <x v="0"/>
    <x v="0"/>
    <x v="1"/>
  </r>
  <r>
    <x v="1"/>
    <s v="194-09096274-1-54"/>
    <s v="BCP"/>
    <s v="DEP.EN EFECTIVO"/>
    <d v="2017-10-05T00:00:00"/>
    <n v="123.02"/>
    <n v="201710"/>
    <n v="3384891"/>
    <n v="414.57740000000001"/>
    <x v="2"/>
    <x v="11"/>
    <x v="0"/>
    <x v="0"/>
    <x v="1"/>
  </r>
  <r>
    <x v="0"/>
    <s v="0661-63-0200043647"/>
    <s v="BBVA"/>
    <s v="DEPOSITO DE MES DE SETIEMBRE"/>
    <d v="2017-10-03T00:00:00"/>
    <n v="300"/>
    <n v="201710"/>
    <n v="3383644"/>
    <n v="300"/>
    <x v="2"/>
    <x v="11"/>
    <x v="0"/>
    <x v="0"/>
    <x v="1"/>
  </r>
  <r>
    <x v="0"/>
    <s v="193-1312975-0-72"/>
    <s v="BCP"/>
    <s v="TRAN.CTAS.TERC.BM"/>
    <d v="2017-10-03T00:00:00"/>
    <n v="180"/>
    <n v="201710"/>
    <n v="3383420"/>
    <n v="180"/>
    <x v="2"/>
    <x v="11"/>
    <x v="0"/>
    <x v="0"/>
    <x v="1"/>
  </r>
  <r>
    <x v="0"/>
    <s v="193-1312975-0-72"/>
    <s v="BCP"/>
    <s v="TRAN.CTAS.TERC.BM"/>
    <d v="2017-10-02T00:00:00"/>
    <n v="300"/>
    <n v="201710"/>
    <n v="3382728"/>
    <n v="300"/>
    <x v="2"/>
    <x v="11"/>
    <x v="0"/>
    <x v="0"/>
    <x v="1"/>
  </r>
  <r>
    <x v="0"/>
    <s v="193-1312975-0-72"/>
    <s v="BCP"/>
    <s v="ENTR.EFEC. 0390545"/>
    <d v="2017-10-02T00:00:00"/>
    <n v="44.5"/>
    <n v="201710"/>
    <n v="3383047"/>
    <n v="44.5"/>
    <x v="2"/>
    <x v="11"/>
    <x v="0"/>
    <x v="0"/>
    <x v="1"/>
  </r>
  <r>
    <x v="0"/>
    <s v="193-1312975-0-72"/>
    <s v="BCP"/>
    <s v="TRANSF DE OTRA CTA"/>
    <d v="2017-10-01T00:00:00"/>
    <n v="315"/>
    <n v="201710"/>
    <n v="3383379"/>
    <n v="315"/>
    <x v="2"/>
    <x v="11"/>
    <x v="0"/>
    <x v="0"/>
    <x v="1"/>
  </r>
  <r>
    <x v="0"/>
    <s v="193-1312975-0-72"/>
    <s v="BCP"/>
    <s v="TRA O/CTA - AGENTE"/>
    <d v="2017-09-30T00:00:00"/>
    <n v="200"/>
    <n v="201709"/>
    <n v="3382676"/>
    <n v="200"/>
    <x v="2"/>
    <x v="0"/>
    <x v="0"/>
    <x v="0"/>
    <x v="1"/>
  </r>
  <r>
    <x v="0"/>
    <s v="193-1312975-0-72"/>
    <s v="BCP"/>
    <s v="TRANSF DE OTRA CTA"/>
    <d v="2017-09-30T00:00:00"/>
    <n v="200"/>
    <n v="201709"/>
    <n v="3382526"/>
    <n v="200"/>
    <x v="2"/>
    <x v="0"/>
    <x v="0"/>
    <x v="0"/>
    <x v="1"/>
  </r>
  <r>
    <x v="0"/>
    <s v="193-1312975-0-72"/>
    <s v="BCP"/>
    <s v="ENTR.EFEC. 0686080"/>
    <d v="2017-09-28T00:00:00"/>
    <n v="15"/>
    <n v="201709"/>
    <n v="3381493"/>
    <n v="15"/>
    <x v="2"/>
    <x v="0"/>
    <x v="0"/>
    <x v="0"/>
    <x v="1"/>
  </r>
  <r>
    <x v="0"/>
    <s v="193-1312975-0-72"/>
    <s v="BCP"/>
    <s v="ENTR.EFEC. 0878354"/>
    <d v="2017-09-22T00:00:00"/>
    <n v="65.400000000000006"/>
    <n v="201709"/>
    <n v="3378641"/>
    <n v="65.400000000000006"/>
    <x v="2"/>
    <x v="0"/>
    <x v="0"/>
    <x v="0"/>
    <x v="1"/>
  </r>
  <r>
    <x v="0"/>
    <s v="193-1312975-0-72"/>
    <s v="BCP"/>
    <s v="TRAN.CTAS.TERC.BM"/>
    <d v="2017-09-22T00:00:00"/>
    <n v="380"/>
    <n v="201709"/>
    <n v="3379008"/>
    <n v="380"/>
    <x v="2"/>
    <x v="0"/>
    <x v="0"/>
    <x v="0"/>
    <x v="1"/>
  </r>
  <r>
    <x v="0"/>
    <s v="193-1312975-0-72"/>
    <s v="BCP"/>
    <s v="TRANSF DE OTRA CTA"/>
    <d v="2017-09-20T00:00:00"/>
    <n v="10"/>
    <n v="201709"/>
    <n v="3377403"/>
    <n v="10"/>
    <x v="2"/>
    <x v="0"/>
    <x v="0"/>
    <x v="0"/>
    <x v="1"/>
  </r>
  <r>
    <x v="1"/>
    <s v="193-1342935-1-08"/>
    <s v="BCP"/>
    <s v="ENTR.EFEC. 0432242"/>
    <d v="2017-09-20T00:00:00"/>
    <n v="7"/>
    <n v="201709"/>
    <n v="3377387"/>
    <n v="23.59"/>
    <x v="2"/>
    <x v="0"/>
    <x v="0"/>
    <x v="0"/>
    <x v="1"/>
  </r>
  <r>
    <x v="0"/>
    <s v="193-1312975-0-72"/>
    <s v="BCP"/>
    <s v="ENTR.EFEC. 0764131"/>
    <d v="2017-09-19T00:00:00"/>
    <n v="442.8"/>
    <n v="201709"/>
    <n v="3376895"/>
    <n v="442.8"/>
    <x v="2"/>
    <x v="0"/>
    <x v="0"/>
    <x v="0"/>
    <x v="1"/>
  </r>
  <r>
    <x v="0"/>
    <s v="193-1312975-0-72"/>
    <s v="BCP"/>
    <s v="ENTR.EFEC. 0762957"/>
    <d v="2017-09-19T00:00:00"/>
    <n v="330.85"/>
    <n v="201709"/>
    <n v="3376896"/>
    <n v="330.85"/>
    <x v="2"/>
    <x v="0"/>
    <x v="0"/>
    <x v="0"/>
    <x v="1"/>
  </r>
  <r>
    <x v="0"/>
    <s v="193-1312975-0-72"/>
    <s v="BCP"/>
    <s v="ENTR.EFEC. 0762783"/>
    <d v="2017-09-19T00:00:00"/>
    <n v="222.7"/>
    <n v="201709"/>
    <n v="3376897"/>
    <n v="222.7"/>
    <x v="2"/>
    <x v="0"/>
    <x v="0"/>
    <x v="0"/>
    <x v="1"/>
  </r>
  <r>
    <x v="0"/>
    <s v="193-1312975-0-72"/>
    <s v="BCP"/>
    <s v="ENTR.EFEC. 0762673"/>
    <d v="2017-09-19T00:00:00"/>
    <n v="313.89999999999998"/>
    <n v="201709"/>
    <n v="3376898"/>
    <n v="313.89999999999998"/>
    <x v="2"/>
    <x v="0"/>
    <x v="0"/>
    <x v="0"/>
    <x v="1"/>
  </r>
  <r>
    <x v="1"/>
    <s v="193-1342935-1-08"/>
    <s v="BCP"/>
    <s v="ENTR.EFEC. 0932125"/>
    <d v="2017-09-19T00:00:00"/>
    <n v="1400"/>
    <n v="201709"/>
    <n v="3376979"/>
    <n v="4718"/>
    <x v="2"/>
    <x v="0"/>
    <x v="0"/>
    <x v="0"/>
    <x v="1"/>
  </r>
  <r>
    <x v="1"/>
    <s v="193-1342935-1-08"/>
    <s v="BCP"/>
    <s v="ENTR.EFEC. 0298006"/>
    <d v="2017-09-18T00:00:00"/>
    <n v="110"/>
    <n v="201709"/>
    <n v="3376405"/>
    <n v="370.7"/>
    <x v="2"/>
    <x v="0"/>
    <x v="0"/>
    <x v="0"/>
    <x v="1"/>
  </r>
  <r>
    <x v="0"/>
    <s v="193-1312975-0-72"/>
    <s v="BCP"/>
    <s v="TRAN.CTAS.TERC.BM"/>
    <d v="2017-09-16T00:00:00"/>
    <n v="8200"/>
    <n v="201709"/>
    <n v="3376246"/>
    <n v="8200"/>
    <x v="2"/>
    <x v="0"/>
    <x v="0"/>
    <x v="0"/>
    <x v="1"/>
  </r>
  <r>
    <x v="0"/>
    <s v="193-1312975-0-72"/>
    <s v="BCP"/>
    <s v="TRAN.CTAS.TERC.BM"/>
    <d v="2017-09-16T00:00:00"/>
    <n v="8199.59"/>
    <n v="201709"/>
    <n v="3376247"/>
    <n v="8199.59"/>
    <x v="2"/>
    <x v="0"/>
    <x v="0"/>
    <x v="0"/>
    <x v="1"/>
  </r>
  <r>
    <x v="0"/>
    <s v="193-1312975-0-72"/>
    <s v="BCP"/>
    <s v="TRANSF DE OTRA CTA"/>
    <d v="2017-09-15T00:00:00"/>
    <n v="45"/>
    <n v="201709"/>
    <n v="3375552"/>
    <n v="45"/>
    <x v="2"/>
    <x v="0"/>
    <x v="0"/>
    <x v="0"/>
    <x v="1"/>
  </r>
  <r>
    <x v="0"/>
    <s v="193-1312975-0-72"/>
    <s v="BCP"/>
    <s v="ENTR.EFEC. 0066409"/>
    <d v="2017-09-14T00:00:00"/>
    <n v="438"/>
    <n v="201709"/>
    <n v="3375009"/>
    <n v="438"/>
    <x v="2"/>
    <x v="0"/>
    <x v="0"/>
    <x v="0"/>
    <x v="1"/>
  </r>
  <r>
    <x v="0"/>
    <s v="193-1312975-0-72"/>
    <s v="BCP"/>
    <s v="ENTR.EFEC. 0141898"/>
    <d v="2017-09-12T00:00:00"/>
    <n v="110"/>
    <n v="201709"/>
    <n v="3374381"/>
    <n v="110"/>
    <x v="2"/>
    <x v="0"/>
    <x v="0"/>
    <x v="0"/>
    <x v="1"/>
  </r>
  <r>
    <x v="0"/>
    <s v="193-1312975-0-72"/>
    <s v="BCP"/>
    <s v="TRANSF DE OTRA CTA"/>
    <d v="2017-09-12T00:00:00"/>
    <n v="110"/>
    <n v="201709"/>
    <n v="3374098"/>
    <n v="110"/>
    <x v="2"/>
    <x v="0"/>
    <x v="0"/>
    <x v="0"/>
    <x v="1"/>
  </r>
  <r>
    <x v="1"/>
    <s v="194-09096274-1-54"/>
    <s v="BCP"/>
    <s v="DEPOSITO EN EFECTIVO 796948"/>
    <d v="2017-09-08T00:00:00"/>
    <n v="123.22"/>
    <n v="201709"/>
    <n v="3387369"/>
    <n v="415.25139999999999"/>
    <x v="2"/>
    <x v="0"/>
    <x v="0"/>
    <x v="0"/>
    <x v="1"/>
  </r>
  <r>
    <x v="1"/>
    <s v="193-1342935-1-08"/>
    <s v="BCP"/>
    <s v="TRAN.CTAS.TERC.BM"/>
    <d v="2017-09-07T00:00:00"/>
    <n v="27.27"/>
    <n v="201709"/>
    <n v="3372418"/>
    <n v="91.899900000000002"/>
    <x v="2"/>
    <x v="0"/>
    <x v="0"/>
    <x v="0"/>
    <x v="1"/>
  </r>
  <r>
    <x v="0"/>
    <s v="044-460-0009-24"/>
    <s v="SCOTIA"/>
    <s v="DEPOSITO EN EFECTIVO"/>
    <d v="2017-09-06T00:00:00"/>
    <n v="10"/>
    <n v="201709"/>
    <n v="3372130"/>
    <n v="10"/>
    <x v="2"/>
    <x v="0"/>
    <x v="0"/>
    <x v="0"/>
    <x v="1"/>
  </r>
  <r>
    <x v="0"/>
    <s v="044-460-0009-24"/>
    <s v="SCOTIA"/>
    <s v="DEPOSITO EN EFECTIVO"/>
    <d v="2017-09-06T00:00:00"/>
    <n v="100"/>
    <n v="201709"/>
    <n v="3372131"/>
    <n v="100"/>
    <x v="2"/>
    <x v="0"/>
    <x v="0"/>
    <x v="0"/>
    <x v="1"/>
  </r>
  <r>
    <x v="1"/>
    <s v="01-044-460-0006-21"/>
    <s v="SCOTIA"/>
    <s v="TRANSFERENCIA ENTRE CUENTAS"/>
    <d v="2017-09-06T00:00:00"/>
    <n v="500"/>
    <n v="201709"/>
    <n v="3371722"/>
    <n v="1685"/>
    <x v="2"/>
    <x v="0"/>
    <x v="0"/>
    <x v="0"/>
    <x v="1"/>
  </r>
  <r>
    <x v="0"/>
    <s v="041-3000106330"/>
    <s v="IBK"/>
    <s v="DEP.EFECTI - -"/>
    <d v="2017-09-05T00:00:00"/>
    <n v="10"/>
    <n v="201709"/>
    <n v="3371419"/>
    <n v="10"/>
    <x v="2"/>
    <x v="0"/>
    <x v="0"/>
    <x v="0"/>
    <x v="1"/>
  </r>
  <r>
    <x v="0"/>
    <s v="0661-63-0200043647"/>
    <s v="BBVA"/>
    <s v="TRANS. DE CTA. 001101600200220960"/>
    <d v="2017-09-05T00:00:00"/>
    <n v="60"/>
    <n v="201709"/>
    <n v="3371371"/>
    <n v="60"/>
    <x v="2"/>
    <x v="0"/>
    <x v="0"/>
    <x v="0"/>
    <x v="1"/>
  </r>
  <r>
    <x v="0"/>
    <s v="193-1312975-0-72"/>
    <s v="BCP"/>
    <s v="TRA O/CTA - AGENTE"/>
    <d v="2017-09-05T00:00:00"/>
    <n v="100"/>
    <n v="201709"/>
    <n v="3371570"/>
    <n v="100"/>
    <x v="2"/>
    <x v="0"/>
    <x v="0"/>
    <x v="0"/>
    <x v="1"/>
  </r>
  <r>
    <x v="0"/>
    <s v="193-1312975-0-72"/>
    <s v="BCP"/>
    <s v="DEP EFECT SOL ATM"/>
    <d v="2017-09-05T00:00:00"/>
    <n v="80"/>
    <n v="201709"/>
    <n v="3371239"/>
    <n v="80"/>
    <x v="2"/>
    <x v="0"/>
    <x v="0"/>
    <x v="0"/>
    <x v="1"/>
  </r>
  <r>
    <x v="1"/>
    <s v="193-1342935-1-08"/>
    <s v="BCP"/>
    <s v="TRANSF DE OTRA CTA"/>
    <d v="2017-09-05T00:00:00"/>
    <n v="1"/>
    <n v="201709"/>
    <n v="3371345"/>
    <n v="3.37"/>
    <x v="2"/>
    <x v="0"/>
    <x v="0"/>
    <x v="0"/>
    <x v="1"/>
  </r>
  <r>
    <x v="1"/>
    <s v="01-044-460-0006-21"/>
    <s v="SCOTIA"/>
    <s v="TRANSFERENCIA ENTRE CUENTAS"/>
    <d v="2017-09-04T00:00:00"/>
    <n v="500"/>
    <n v="201709"/>
    <n v="3370208"/>
    <n v="1685"/>
    <x v="2"/>
    <x v="0"/>
    <x v="0"/>
    <x v="0"/>
    <x v="1"/>
  </r>
  <r>
    <x v="0"/>
    <s v="193-1312975-0-72"/>
    <s v="BCP"/>
    <s v="TRA O/CTA"/>
    <d v="2017-09-02T00:00:00"/>
    <n v="600"/>
    <n v="201709"/>
    <n v="3370160"/>
    <n v="600"/>
    <x v="2"/>
    <x v="0"/>
    <x v="0"/>
    <x v="0"/>
    <x v="1"/>
  </r>
  <r>
    <x v="0"/>
    <s v="044-460-0009-24"/>
    <s v="SCOTIA"/>
    <s v="TRANSFERENCIA ENTRE CUENTAS"/>
    <d v="2017-09-02T00:00:00"/>
    <n v="550"/>
    <n v="201709"/>
    <n v="3370034"/>
    <n v="550"/>
    <x v="2"/>
    <x v="0"/>
    <x v="0"/>
    <x v="0"/>
    <x v="1"/>
  </r>
  <r>
    <x v="0"/>
    <s v="041-3000106330"/>
    <s v="IBK"/>
    <s v="DEP.EFECTI - -"/>
    <d v="2017-09-01T00:00:00"/>
    <n v="356.1"/>
    <n v="201709"/>
    <n v="3369895"/>
    <n v="356.1"/>
    <x v="2"/>
    <x v="0"/>
    <x v="0"/>
    <x v="0"/>
    <x v="1"/>
  </r>
  <r>
    <x v="0"/>
    <s v="193-1312975-0-72"/>
    <s v="BCP"/>
    <s v="TRANSF DE OTRA CTA"/>
    <d v="2017-09-01T00:00:00"/>
    <n v="333.99"/>
    <n v="201709"/>
    <n v="3369321"/>
    <n v="333.99"/>
    <x v="2"/>
    <x v="0"/>
    <x v="0"/>
    <x v="0"/>
    <x v="1"/>
  </r>
  <r>
    <x v="1"/>
    <s v="193-1342935-1-08"/>
    <s v="BCP"/>
    <s v="ENTR.EFEC. 0479391"/>
    <d v="2017-08-31T00:00:00"/>
    <n v="70.22"/>
    <n v="201708"/>
    <n v="3368790"/>
    <n v="236.6414"/>
    <x v="2"/>
    <x v="1"/>
    <x v="0"/>
    <x v="0"/>
    <x v="1"/>
  </r>
  <r>
    <x v="0"/>
    <s v="193-1312975-0-72"/>
    <s v="BCP"/>
    <s v="TRAN.CTAS.TERC.BM"/>
    <d v="2017-08-29T00:00:00"/>
    <n v="500"/>
    <n v="201708"/>
    <n v="3368182"/>
    <n v="500"/>
    <x v="2"/>
    <x v="1"/>
    <x v="0"/>
    <x v="0"/>
    <x v="1"/>
  </r>
  <r>
    <x v="0"/>
    <s v="193-1312975-0-72"/>
    <s v="BCP"/>
    <s v="TRANSF DE OTRA CTA"/>
    <d v="2017-08-29T00:00:00"/>
    <n v="3"/>
    <n v="201708"/>
    <n v="3368184"/>
    <n v="3"/>
    <x v="2"/>
    <x v="1"/>
    <x v="0"/>
    <x v="0"/>
    <x v="1"/>
  </r>
  <r>
    <x v="1"/>
    <s v="193-1342935-1-08"/>
    <s v="BCP"/>
    <s v="TRANSF DE OTRA CTA"/>
    <d v="2017-08-28T00:00:00"/>
    <n v="60.61"/>
    <n v="201708"/>
    <n v="3367360"/>
    <n v="204.25570000000002"/>
    <x v="2"/>
    <x v="1"/>
    <x v="0"/>
    <x v="0"/>
    <x v="1"/>
  </r>
  <r>
    <x v="0"/>
    <s v="0661-63-0200043647"/>
    <s v="BBVA"/>
    <s v="*RUALES VILLANUEVA JUAN ELIAS"/>
    <d v="2017-08-26T00:00:00"/>
    <n v="102"/>
    <n v="201708"/>
    <n v="3367228"/>
    <n v="102"/>
    <x v="2"/>
    <x v="1"/>
    <x v="0"/>
    <x v="0"/>
    <x v="0"/>
  </r>
  <r>
    <x v="0"/>
    <s v="193-1312975-0-72"/>
    <s v="BCP"/>
    <s v="ENTR.EFEC. 0639605"/>
    <d v="2017-08-25T00:00:00"/>
    <n v="190.2"/>
    <n v="201708"/>
    <n v="3366515"/>
    <n v="190.2"/>
    <x v="2"/>
    <x v="1"/>
    <x v="0"/>
    <x v="0"/>
    <x v="1"/>
  </r>
  <r>
    <x v="0"/>
    <s v="193-1312975-0-72"/>
    <s v="BCP"/>
    <s v="ENTR.EFEC. 0025772"/>
    <d v="2017-08-25T00:00:00"/>
    <n v="199"/>
    <n v="201708"/>
    <n v="3366756"/>
    <n v="199"/>
    <x v="2"/>
    <x v="1"/>
    <x v="0"/>
    <x v="0"/>
    <x v="1"/>
  </r>
  <r>
    <x v="0"/>
    <s v="193-1312975-0-72"/>
    <s v="BCP"/>
    <s v="ENTR.EFEC. 0024806"/>
    <d v="2017-08-25T00:00:00"/>
    <n v="108"/>
    <n v="201708"/>
    <n v="3366757"/>
    <n v="108"/>
    <x v="2"/>
    <x v="1"/>
    <x v="0"/>
    <x v="0"/>
    <x v="1"/>
  </r>
  <r>
    <x v="0"/>
    <s v="193-1312975-0-72"/>
    <s v="BCP"/>
    <s v="ENTR.EFEC. 0024703"/>
    <d v="2017-08-25T00:00:00"/>
    <n v="39.6"/>
    <n v="201708"/>
    <n v="3366758"/>
    <n v="39.6"/>
    <x v="2"/>
    <x v="1"/>
    <x v="0"/>
    <x v="0"/>
    <x v="1"/>
  </r>
  <r>
    <x v="0"/>
    <s v="193-1312975-0-72"/>
    <s v="BCP"/>
    <s v="ENTR.EFEC. 0025540"/>
    <d v="2017-08-25T00:00:00"/>
    <n v="166.8"/>
    <n v="201708"/>
    <n v="3366759"/>
    <n v="166.8"/>
    <x v="2"/>
    <x v="1"/>
    <x v="0"/>
    <x v="0"/>
    <x v="1"/>
  </r>
  <r>
    <x v="1"/>
    <s v="193-1342935-1-08"/>
    <s v="BCP"/>
    <s v="TRANSF DE OTRA CTA"/>
    <d v="2017-08-25T00:00:00"/>
    <n v="400"/>
    <n v="201708"/>
    <n v="3366828"/>
    <n v="1348"/>
    <x v="2"/>
    <x v="1"/>
    <x v="0"/>
    <x v="0"/>
    <x v="1"/>
  </r>
  <r>
    <x v="0"/>
    <s v="193-1312975-0-72"/>
    <s v="BCP"/>
    <s v="ENTR.EFEC. 0038058"/>
    <d v="2017-08-23T00:00:00"/>
    <n v="42.45"/>
    <n v="201708"/>
    <n v="3365497"/>
    <n v="42.45"/>
    <x v="2"/>
    <x v="1"/>
    <x v="0"/>
    <x v="0"/>
    <x v="1"/>
  </r>
  <r>
    <x v="0"/>
    <s v="193-1312975-0-72"/>
    <s v="BCP"/>
    <s v="ENTR.EFEC. 0687290"/>
    <d v="2017-08-21T00:00:00"/>
    <n v="309.72000000000003"/>
    <n v="201708"/>
    <n v="3364406"/>
    <n v="309.72000000000003"/>
    <x v="2"/>
    <x v="1"/>
    <x v="0"/>
    <x v="0"/>
    <x v="1"/>
  </r>
  <r>
    <x v="1"/>
    <s v="193-1342935-1-08"/>
    <s v="BCP"/>
    <s v="DEP EFECT DOL ATM"/>
    <d v="2017-08-21T00:00:00"/>
    <n v="761"/>
    <n v="201708"/>
    <n v="3364666"/>
    <n v="2564.5700000000002"/>
    <x v="2"/>
    <x v="1"/>
    <x v="0"/>
    <x v="0"/>
    <x v="1"/>
  </r>
  <r>
    <x v="1"/>
    <s v="194-09096274-1-54"/>
    <s v="BCP"/>
    <s v="TRANSF DE OTRA CTA"/>
    <d v="2017-08-21T00:00:00"/>
    <n v="707.05"/>
    <n v="201708"/>
    <n v="3364609"/>
    <n v="2382.7584999999999"/>
    <x v="2"/>
    <x v="1"/>
    <x v="0"/>
    <x v="0"/>
    <x v="1"/>
  </r>
  <r>
    <x v="0"/>
    <s v="193-1312975-0-72"/>
    <s v="BCP"/>
    <s v="TRANSF.BCO.CONTINENTAL"/>
    <d v="2017-08-17T00:00:00"/>
    <n v="80"/>
    <n v="201708"/>
    <n v="3363007"/>
    <n v="80"/>
    <x v="2"/>
    <x v="1"/>
    <x v="0"/>
    <x v="0"/>
    <x v="1"/>
  </r>
  <r>
    <x v="1"/>
    <s v="193-1342935-1-08"/>
    <s v="BCP"/>
    <s v="ENTR.EFEC. 0882552"/>
    <d v="2017-08-15T00:00:00"/>
    <n v="62"/>
    <n v="201708"/>
    <n v="3362264"/>
    <n v="208.94"/>
    <x v="2"/>
    <x v="1"/>
    <x v="0"/>
    <x v="0"/>
    <x v="1"/>
  </r>
  <r>
    <x v="1"/>
    <s v="193-1342935-1-08"/>
    <s v="BCP"/>
    <s v="TRANSF.BCO.CONTINENTAL"/>
    <d v="2017-08-14T00:00:00"/>
    <n v="8"/>
    <n v="201708"/>
    <n v="3361725"/>
    <n v="26.96"/>
    <x v="2"/>
    <x v="1"/>
    <x v="0"/>
    <x v="0"/>
    <x v="1"/>
  </r>
  <r>
    <x v="0"/>
    <s v="193-1312975-0-72"/>
    <s v="BCP"/>
    <s v="TRAN.CTAS.TERC.HK"/>
    <d v="2017-08-11T00:00:00"/>
    <n v="10"/>
    <n v="201708"/>
    <n v="3361505"/>
    <n v="10"/>
    <x v="2"/>
    <x v="1"/>
    <x v="0"/>
    <x v="0"/>
    <x v="1"/>
  </r>
  <r>
    <x v="1"/>
    <s v="194-09096274-1-54"/>
    <s v="BCP"/>
    <s v="TRANSF DE OTRA CTA"/>
    <d v="2017-08-09T00:00:00"/>
    <n v="986.52"/>
    <n v="201708"/>
    <n v="3360397"/>
    <n v="3324.5724"/>
    <x v="2"/>
    <x v="1"/>
    <x v="0"/>
    <x v="0"/>
    <x v="1"/>
  </r>
  <r>
    <x v="1"/>
    <s v="194-09096274-1-54"/>
    <s v="BCP"/>
    <s v="DEP.EN EFECTIVO"/>
    <d v="2017-08-08T00:00:00"/>
    <n v="123.31"/>
    <n v="201708"/>
    <n v="3359629"/>
    <n v="415.55470000000003"/>
    <x v="2"/>
    <x v="1"/>
    <x v="0"/>
    <x v="0"/>
    <x v="1"/>
  </r>
  <r>
    <x v="0"/>
    <s v="193-1312975-0-72"/>
    <s v="BCP"/>
    <s v="ENTR.EFEC. 0661993"/>
    <d v="2017-08-07T00:00:00"/>
    <n v="70"/>
    <n v="201708"/>
    <n v="3358965"/>
    <n v="70"/>
    <x v="2"/>
    <x v="1"/>
    <x v="0"/>
    <x v="0"/>
    <x v="1"/>
  </r>
  <r>
    <x v="0"/>
    <s v="193-1312975-0-72"/>
    <s v="BCP"/>
    <s v="TRA O/CTA - AGENTE"/>
    <d v="2017-07-31T00:00:00"/>
    <n v="200"/>
    <n v="201707"/>
    <n v="3356134"/>
    <n v="200"/>
    <x v="2"/>
    <x v="2"/>
    <x v="0"/>
    <x v="0"/>
    <x v="1"/>
  </r>
  <r>
    <x v="1"/>
    <s v="193-1342935-1-08"/>
    <s v="BCP"/>
    <s v="ENTR.EFEC. 0485272"/>
    <d v="2017-07-27T00:00:00"/>
    <n v="9600"/>
    <n v="201707"/>
    <n v="3355112"/>
    <n v="32352"/>
    <x v="2"/>
    <x v="2"/>
    <x v="0"/>
    <x v="0"/>
    <x v="1"/>
  </r>
  <r>
    <x v="1"/>
    <s v="193-1342935-1-08"/>
    <s v="BCP"/>
    <s v="TRAN.CTAS.TERC.HK"/>
    <d v="2017-07-27T00:00:00"/>
    <n v="19.89"/>
    <n v="201707"/>
    <n v="3355005"/>
    <n v="67.029300000000006"/>
    <x v="2"/>
    <x v="2"/>
    <x v="0"/>
    <x v="0"/>
    <x v="1"/>
  </r>
  <r>
    <x v="0"/>
    <s v="193-1312975-0-72"/>
    <s v="BCP"/>
    <s v="ENTR.EFEC. 0653905"/>
    <d v="2017-07-25T00:00:00"/>
    <n v="1000"/>
    <n v="201707"/>
    <n v="3353594"/>
    <n v="1000"/>
    <x v="2"/>
    <x v="2"/>
    <x v="0"/>
    <x v="0"/>
    <x v="1"/>
  </r>
  <r>
    <x v="1"/>
    <s v="193-1342935-1-08"/>
    <s v="BCP"/>
    <s v="ENTR.EFEC. 0651947"/>
    <d v="2017-07-25T00:00:00"/>
    <n v="300"/>
    <n v="201707"/>
    <n v="3353649"/>
    <n v="1011"/>
    <x v="2"/>
    <x v="2"/>
    <x v="0"/>
    <x v="0"/>
    <x v="1"/>
  </r>
  <r>
    <x v="0"/>
    <s v="193-1312975-0-72"/>
    <s v="BCP"/>
    <s v="ENTR.EFEC. 0963466"/>
    <d v="2017-07-24T00:00:00"/>
    <n v="110"/>
    <n v="201707"/>
    <n v="3353134"/>
    <n v="110"/>
    <x v="2"/>
    <x v="2"/>
    <x v="0"/>
    <x v="0"/>
    <x v="1"/>
  </r>
  <r>
    <x v="0"/>
    <s v="193-1312975-0-72"/>
    <s v="BCP"/>
    <s v="DE INTERNATIONAL 4PL C"/>
    <d v="2017-07-19T00:00:00"/>
    <n v="60"/>
    <n v="201707"/>
    <n v="3351072"/>
    <n v="60"/>
    <x v="2"/>
    <x v="2"/>
    <x v="0"/>
    <x v="0"/>
    <x v="0"/>
  </r>
  <r>
    <x v="1"/>
    <s v="142-75-0200064790"/>
    <s v="BBVA"/>
    <s v="INGRESO EN EFECTIVO OFICINA ANGAMOS"/>
    <d v="2017-07-18T00:00:00"/>
    <n v="140"/>
    <n v="201707"/>
    <n v="3350764"/>
    <n v="471.8"/>
    <x v="2"/>
    <x v="2"/>
    <x v="0"/>
    <x v="0"/>
    <x v="1"/>
  </r>
  <r>
    <x v="0"/>
    <s v="193-1312975-0-72"/>
    <s v="BCP"/>
    <s v="ENTR.EFEC. 0157346"/>
    <d v="2017-07-14T00:00:00"/>
    <n v="110"/>
    <n v="201707"/>
    <n v="3349351"/>
    <n v="110"/>
    <x v="2"/>
    <x v="2"/>
    <x v="0"/>
    <x v="0"/>
    <x v="1"/>
  </r>
  <r>
    <x v="0"/>
    <s v="0661-63-0200043647"/>
    <s v="BBVA"/>
    <s v="INGRESO EN EFECTIVO OF. LOS GERANIO"/>
    <d v="2017-07-10T00:00:00"/>
    <n v="750"/>
    <n v="201707"/>
    <n v="3347131"/>
    <n v="750"/>
    <x v="2"/>
    <x v="2"/>
    <x v="0"/>
    <x v="0"/>
    <x v="1"/>
  </r>
  <r>
    <x v="0"/>
    <s v="193-1312975-0-72"/>
    <s v="BCP"/>
    <s v="DE COOPERATIVA DE AHOR"/>
    <d v="2017-07-06T00:00:00"/>
    <n v="20"/>
    <n v="201707"/>
    <n v="3346257"/>
    <n v="20"/>
    <x v="2"/>
    <x v="2"/>
    <x v="0"/>
    <x v="0"/>
    <x v="0"/>
  </r>
  <r>
    <x v="1"/>
    <s v="193-1342935-1-08"/>
    <s v="BCP"/>
    <s v="DE SOLUCIONES LOGISTIC"/>
    <d v="2017-07-06T00:00:00"/>
    <n v="36.19"/>
    <n v="201707"/>
    <n v="3345965"/>
    <n v="121.96029999999999"/>
    <x v="2"/>
    <x v="2"/>
    <x v="0"/>
    <x v="0"/>
    <x v="0"/>
  </r>
  <r>
    <x v="1"/>
    <s v="193-1342935-1-08"/>
    <s v="BCP"/>
    <s v="DE SOLUCIONES LOGISTIC"/>
    <d v="2017-07-06T00:00:00"/>
    <n v="30.16"/>
    <n v="201707"/>
    <n v="3345968"/>
    <n v="101.6392"/>
    <x v="2"/>
    <x v="2"/>
    <x v="0"/>
    <x v="0"/>
    <x v="0"/>
  </r>
  <r>
    <x v="0"/>
    <s v="193-1312975-0-72"/>
    <s v="BCP"/>
    <s v="ENTR.EFEC. 0791649"/>
    <d v="2017-07-04T00:00:00"/>
    <n v="132"/>
    <n v="201707"/>
    <n v="3344554"/>
    <n v="132"/>
    <x v="2"/>
    <x v="2"/>
    <x v="0"/>
    <x v="0"/>
    <x v="1"/>
  </r>
  <r>
    <x v="1"/>
    <s v="193-1342935-1-08"/>
    <s v="BCP"/>
    <s v="ENTR.EFEC. 0859241"/>
    <d v="2017-07-04T00:00:00"/>
    <n v="72"/>
    <n v="201707"/>
    <n v="3344787"/>
    <n v="242.64000000000001"/>
    <x v="2"/>
    <x v="2"/>
    <x v="0"/>
    <x v="0"/>
    <x v="1"/>
  </r>
  <r>
    <x v="0"/>
    <s v="193-1312975-0-72"/>
    <s v="BCP"/>
    <s v="ENTR.EFEC. 0203602"/>
    <d v="2017-07-03T00:00:00"/>
    <n v="3740"/>
    <n v="201707"/>
    <n v="3343915"/>
    <n v="3740"/>
    <x v="2"/>
    <x v="2"/>
    <x v="0"/>
    <x v="0"/>
    <x v="1"/>
  </r>
  <r>
    <x v="0"/>
    <s v="193-1312975-0-72"/>
    <s v="BCP"/>
    <s v="ENTR.EFEC. 0405743"/>
    <d v="2017-06-30T00:00:00"/>
    <n v="4757.5"/>
    <n v="201706"/>
    <n v="3342643"/>
    <n v="4757.5"/>
    <x v="2"/>
    <x v="3"/>
    <x v="0"/>
    <x v="0"/>
    <x v="1"/>
  </r>
  <r>
    <x v="1"/>
    <s v="193-1342935-1-08"/>
    <s v="BCP"/>
    <s v="ENTR.EFEC. 0112417"/>
    <d v="2017-06-30T00:00:00"/>
    <n v="105"/>
    <n v="201706"/>
    <n v="3342978"/>
    <n v="353.85"/>
    <x v="2"/>
    <x v="3"/>
    <x v="0"/>
    <x v="0"/>
    <x v="1"/>
  </r>
  <r>
    <x v="0"/>
    <s v="193-1312975-0-72"/>
    <s v="BCP"/>
    <s v="ENTRE EFECT 0716074 CIM 9.71"/>
    <d v="2017-06-28T00:00:00"/>
    <n v="1942.6"/>
    <n v="201706"/>
    <n v="3378723"/>
    <n v="1942.6"/>
    <x v="2"/>
    <x v="3"/>
    <x v="0"/>
    <x v="0"/>
    <x v="1"/>
  </r>
  <r>
    <x v="0"/>
    <s v="193-1312975-0-72"/>
    <s v="BCP"/>
    <s v="TRANSF DE OTRA CTA"/>
    <d v="2017-06-26T00:00:00"/>
    <n v="1500"/>
    <n v="201706"/>
    <n v="3340526"/>
    <n v="1500"/>
    <x v="2"/>
    <x v="3"/>
    <x v="0"/>
    <x v="0"/>
    <x v="1"/>
  </r>
  <r>
    <x v="0"/>
    <s v="193-1312975-0-72"/>
    <s v="BCP"/>
    <s v="DE CLEAN ENERGY DEL PE"/>
    <d v="2017-06-15T00:00:00"/>
    <n v="110"/>
    <n v="201706"/>
    <n v="3336295"/>
    <n v="110"/>
    <x v="2"/>
    <x v="3"/>
    <x v="0"/>
    <x v="0"/>
    <x v="0"/>
  </r>
  <r>
    <x v="0"/>
    <s v="0661-63-0200043647"/>
    <s v="BBVA"/>
    <s v="*A/ PROVEEDO.CAMPOSUR INC SAC"/>
    <d v="2017-06-13T00:00:00"/>
    <n v="110"/>
    <n v="201706"/>
    <n v="3335635"/>
    <n v="110"/>
    <x v="2"/>
    <x v="3"/>
    <x v="0"/>
    <x v="0"/>
    <x v="0"/>
  </r>
  <r>
    <x v="0"/>
    <s v="0661-63-0200043647"/>
    <s v="BBVA"/>
    <s v="INGRESO EN EFECTIVO OF. SAN RAFAEL"/>
    <d v="2017-06-06T00:00:00"/>
    <n v="3400"/>
    <n v="201706"/>
    <n v="3333054"/>
    <n v="3400"/>
    <x v="2"/>
    <x v="3"/>
    <x v="0"/>
    <x v="0"/>
    <x v="1"/>
  </r>
  <r>
    <x v="0"/>
    <s v="193-1312975-0-72"/>
    <s v="BCP"/>
    <s v="TRAN.CTAS.TERC.BM"/>
    <d v="2017-06-06T00:00:00"/>
    <n v="527"/>
    <n v="201706"/>
    <n v="3333078"/>
    <n v="527"/>
    <x v="2"/>
    <x v="3"/>
    <x v="0"/>
    <x v="0"/>
    <x v="1"/>
  </r>
  <r>
    <x v="0"/>
    <s v="193-1312975-0-72"/>
    <s v="BCP"/>
    <s v="TRAN.CTAS.TERC.BM"/>
    <d v="2017-06-06T00:00:00"/>
    <n v="1610"/>
    <n v="201706"/>
    <n v="3333013"/>
    <n v="1610"/>
    <x v="2"/>
    <x v="3"/>
    <x v="0"/>
    <x v="0"/>
    <x v="1"/>
  </r>
  <r>
    <x v="0"/>
    <s v="193-1312975-0-72"/>
    <s v="BCP"/>
    <s v="TRANSF DE OTRA CTA"/>
    <d v="2017-06-04T00:00:00"/>
    <n v="1200"/>
    <n v="201706"/>
    <n v="3331976"/>
    <n v="1200"/>
    <x v="2"/>
    <x v="3"/>
    <x v="0"/>
    <x v="0"/>
    <x v="1"/>
  </r>
  <r>
    <x v="0"/>
    <s v="0661-63-0200043647"/>
    <s v="BBVA"/>
    <s v="PATRICIA CARMEN HAYASHIDA HAYASHI"/>
    <d v="2017-06-02T00:00:00"/>
    <n v="1000"/>
    <n v="201706"/>
    <n v="3331754"/>
    <n v="1000"/>
    <x v="2"/>
    <x v="3"/>
    <x v="0"/>
    <x v="0"/>
    <x v="0"/>
  </r>
  <r>
    <x v="1"/>
    <s v="194-09096274-1-54"/>
    <s v="BCP"/>
    <s v="DEP.EN EFECTIVO"/>
    <d v="2017-06-02T00:00:00"/>
    <n v="123.8"/>
    <n v="201706"/>
    <n v="3331782"/>
    <n v="417.20600000000002"/>
    <x v="2"/>
    <x v="3"/>
    <x v="0"/>
    <x v="0"/>
    <x v="1"/>
  </r>
  <r>
    <x v="0"/>
    <s v="0661-63-0200043647"/>
    <s v="BBVA"/>
    <s v="DEPOS. EN CTA. 001106610200043647"/>
    <d v="2017-05-31T00:00:00"/>
    <n v="1000"/>
    <n v="201706"/>
    <n v="3330475"/>
    <n v="1000"/>
    <x v="2"/>
    <x v="4"/>
    <x v="0"/>
    <x v="0"/>
    <x v="1"/>
  </r>
  <r>
    <x v="1"/>
    <s v="193-1342935-1-08"/>
    <s v="BCP"/>
    <s v="ENTR.EFEC. 0295123 295123"/>
    <d v="2017-05-31T00:00:00"/>
    <n v="24.84"/>
    <n v="201705"/>
    <n v="3330030"/>
    <n v="83.710800000000006"/>
    <x v="2"/>
    <x v="4"/>
    <x v="0"/>
    <x v="0"/>
    <x v="1"/>
  </r>
  <r>
    <x v="0"/>
    <s v="0661-63-0200043647"/>
    <s v="BBVA"/>
    <s v="PACIFICO BANCA AUTOMATIC 35986"/>
    <d v="2017-05-29T00:00:00"/>
    <n v="180"/>
    <n v="201705"/>
    <n v="3328980"/>
    <n v="180"/>
    <x v="2"/>
    <x v="4"/>
    <x v="0"/>
    <x v="0"/>
    <x v="1"/>
  </r>
  <r>
    <x v="0"/>
    <s v="193-1312975-0-72"/>
    <s v="BCP"/>
    <s v="TRA O/CTA - AGENTE 339194"/>
    <d v="2017-05-25T00:00:00"/>
    <n v="10"/>
    <n v="201705"/>
    <n v="3328061"/>
    <n v="10"/>
    <x v="2"/>
    <x v="4"/>
    <x v="0"/>
    <x v="0"/>
    <x v="1"/>
  </r>
  <r>
    <x v="1"/>
    <s v="041-3000106347"/>
    <s v="IBK"/>
    <s v="DEP.EFECTIVO 353253"/>
    <d v="2017-05-25T00:00:00"/>
    <n v="5"/>
    <n v="201705"/>
    <n v="3328175"/>
    <n v="16.850000000000001"/>
    <x v="2"/>
    <x v="4"/>
    <x v="0"/>
    <x v="0"/>
    <x v="1"/>
  </r>
  <r>
    <x v="0"/>
    <s v="193-1312975-0-72"/>
    <s v="BCP"/>
    <s v="TRANSF DE OTRA CTA"/>
    <d v="2017-05-24T00:00:00"/>
    <n v="550"/>
    <n v="201705"/>
    <n v="3347978"/>
    <n v="550"/>
    <x v="2"/>
    <x v="4"/>
    <x v="0"/>
    <x v="0"/>
    <x v="1"/>
  </r>
  <r>
    <x v="0"/>
    <s v="0661-63-0200043647"/>
    <s v="BBVA"/>
    <s v="INGRESO EN EFECTIVO OF. AV.DEL EJER 35865"/>
    <d v="2017-05-23T00:00:00"/>
    <n v="60"/>
    <n v="201705"/>
    <n v="3327253"/>
    <n v="60"/>
    <x v="2"/>
    <x v="4"/>
    <x v="0"/>
    <x v="0"/>
    <x v="1"/>
  </r>
  <r>
    <x v="0"/>
    <s v="193-1312975-0-72"/>
    <s v="BCP"/>
    <s v="DEP EFECT SOL ATM 80"/>
    <d v="2017-05-23T00:00:00"/>
    <n v="50"/>
    <n v="201705"/>
    <n v="3327222"/>
    <n v="50"/>
    <x v="2"/>
    <x v="4"/>
    <x v="0"/>
    <x v="0"/>
    <x v="1"/>
  </r>
  <r>
    <x v="0"/>
    <s v="193-1312975-0-72"/>
    <s v="BCP"/>
    <s v="DEP EFECT SOL ATM 77"/>
    <d v="2017-05-23T00:00:00"/>
    <n v="150"/>
    <n v="201705"/>
    <n v="3327223"/>
    <n v="150"/>
    <x v="2"/>
    <x v="4"/>
    <x v="0"/>
    <x v="0"/>
    <x v="1"/>
  </r>
  <r>
    <x v="1"/>
    <s v="142-75-0200064790"/>
    <s v="BBVA"/>
    <s v="COOPERATIVA PACIFICO 36695"/>
    <d v="2017-05-22T00:00:00"/>
    <n v="38.700000000000003"/>
    <n v="201705"/>
    <n v="3326727"/>
    <n v="130.41900000000001"/>
    <x v="2"/>
    <x v="4"/>
    <x v="0"/>
    <x v="0"/>
    <x v="1"/>
  </r>
  <r>
    <x v="0"/>
    <s v="193-1312975-0-72"/>
    <s v="BCP"/>
    <s v="DEP EFECT SOL ATM 464"/>
    <d v="2017-05-21T00:00:00"/>
    <n v="3000"/>
    <n v="201705"/>
    <n v="3326315"/>
    <n v="3000"/>
    <x v="2"/>
    <x v="4"/>
    <x v="0"/>
    <x v="0"/>
    <x v="1"/>
  </r>
  <r>
    <x v="1"/>
    <s v="193-1342935-1-08"/>
    <s v="BCP"/>
    <s v="TRANSF DE OTRA CTA 6436837"/>
    <d v="2017-05-19T00:00:00"/>
    <n v="456.38"/>
    <n v="201705"/>
    <n v="3325836"/>
    <n v="1538.0006000000001"/>
    <x v="2"/>
    <x v="4"/>
    <x v="0"/>
    <x v="0"/>
    <x v="1"/>
  </r>
  <r>
    <x v="0"/>
    <s v="0661-63-0200043647"/>
    <s v="BBVA"/>
    <s v="INGRESO EN EFECTIVO APOLO 35722"/>
    <d v="2017-05-18T00:00:00"/>
    <n v="1850"/>
    <n v="201705"/>
    <n v="3325551"/>
    <n v="1850"/>
    <x v="2"/>
    <x v="4"/>
    <x v="0"/>
    <x v="0"/>
    <x v="1"/>
  </r>
  <r>
    <x v="0"/>
    <s v="193-1312975-0-72"/>
    <s v="BCP"/>
    <s v="TRAN.CTAS.TERC.BM 1516468"/>
    <d v="2017-05-17T00:00:00"/>
    <n v="100"/>
    <n v="201705"/>
    <n v="3325070"/>
    <n v="100"/>
    <x v="2"/>
    <x v="4"/>
    <x v="0"/>
    <x v="0"/>
    <x v="1"/>
  </r>
  <r>
    <x v="0"/>
    <s v="193-1312975-0-72"/>
    <s v="BCP"/>
    <s v="TRA O/CTA 3429"/>
    <d v="2017-05-16T00:00:00"/>
    <n v="50"/>
    <n v="201705"/>
    <n v="3324693"/>
    <n v="50"/>
    <x v="2"/>
    <x v="4"/>
    <x v="0"/>
    <x v="0"/>
    <x v="1"/>
  </r>
  <r>
    <x v="0"/>
    <s v="193-1312975-0-72"/>
    <s v="BCP"/>
    <s v="TRA O/CTA 8566"/>
    <d v="2017-05-16T00:00:00"/>
    <n v="150"/>
    <n v="201705"/>
    <n v="3324980"/>
    <n v="150"/>
    <x v="2"/>
    <x v="4"/>
    <x v="0"/>
    <x v="0"/>
    <x v="1"/>
  </r>
  <r>
    <x v="0"/>
    <s v="193-1312975-0-72"/>
    <s v="BCP"/>
    <s v="ENTR.EFEC. 0325083 325083"/>
    <d v="2017-05-16T00:00:00"/>
    <n v="50"/>
    <n v="201705"/>
    <n v="3324888"/>
    <n v="50"/>
    <x v="2"/>
    <x v="4"/>
    <x v="0"/>
    <x v="0"/>
    <x v="1"/>
  </r>
  <r>
    <x v="0"/>
    <s v="193-1312975-0-72"/>
    <s v="BCP"/>
    <s v="TRANSF DE OTRA CTA"/>
    <d v="2017-05-16T00:00:00"/>
    <n v="750"/>
    <n v="201705"/>
    <n v="3347976"/>
    <n v="750"/>
    <x v="2"/>
    <x v="4"/>
    <x v="0"/>
    <x v="0"/>
    <x v="1"/>
  </r>
  <r>
    <x v="1"/>
    <s v="194-09096274-1-54"/>
    <s v="BCP"/>
    <s v="DEP.EN EFECTIVO 672005"/>
    <d v="2017-05-09T00:00:00"/>
    <n v="124"/>
    <n v="201705"/>
    <n v="3322585"/>
    <n v="417.88"/>
    <x v="2"/>
    <x v="4"/>
    <x v="0"/>
    <x v="0"/>
    <x v="1"/>
  </r>
  <r>
    <x v="0"/>
    <s v="193-1312975-0-72"/>
    <s v="BCP"/>
    <s v="ENTR.EFEC. 0950181 950181"/>
    <d v="2017-05-05T00:00:00"/>
    <n v="75"/>
    <n v="201705"/>
    <n v="3321250"/>
    <n v="75"/>
    <x v="2"/>
    <x v="4"/>
    <x v="0"/>
    <x v="0"/>
    <x v="1"/>
  </r>
  <r>
    <x v="0"/>
    <s v="193-1312975-0-72"/>
    <s v="BCP"/>
    <s v="ENTR.EFEC. 0061425 61425"/>
    <d v="2017-05-04T00:00:00"/>
    <n v="3000"/>
    <n v="201705"/>
    <n v="3320566"/>
    <n v="3000"/>
    <x v="2"/>
    <x v="4"/>
    <x v="0"/>
    <x v="0"/>
    <x v="1"/>
  </r>
  <r>
    <x v="0"/>
    <s v="193-1312975-0-72"/>
    <s v="BCP"/>
    <s v="TRANSF DE OTRA CTA 3325059"/>
    <d v="2017-05-03T00:00:00"/>
    <n v="1200"/>
    <n v="201705"/>
    <n v="3320340"/>
    <n v="1200"/>
    <x v="2"/>
    <x v="4"/>
    <x v="0"/>
    <x v="0"/>
    <x v="1"/>
  </r>
  <r>
    <x v="0"/>
    <s v="041-3000106330"/>
    <s v="IBK"/>
    <s v="TRANSF UNIVERSIDAD PERUANA DE CIENCIAS APLICADA 2804170"/>
    <d v="2017-04-28T00:00:00"/>
    <n v="295"/>
    <n v="201704"/>
    <n v="3318924"/>
    <n v="295"/>
    <x v="2"/>
    <x v="5"/>
    <x v="0"/>
    <x v="0"/>
    <x v="1"/>
  </r>
  <r>
    <x v="0"/>
    <s v="193-1312975-0-72"/>
    <s v="BCP"/>
    <s v="ENTR.EFEC. 0820318 820318"/>
    <d v="2017-04-27T00:00:00"/>
    <n v="480"/>
    <n v="201704"/>
    <n v="3318400"/>
    <n v="480"/>
    <x v="2"/>
    <x v="5"/>
    <x v="0"/>
    <x v="0"/>
    <x v="1"/>
  </r>
  <r>
    <x v="0"/>
    <s v="044-460-0009-24"/>
    <s v="SCOTIA"/>
    <s v="TRANSFERENCIA ENTRE CUENTAS 4651051346"/>
    <d v="2017-04-25T00:00:00"/>
    <n v="100"/>
    <n v="201704"/>
    <n v="3316963"/>
    <n v="100"/>
    <x v="2"/>
    <x v="5"/>
    <x v="0"/>
    <x v="0"/>
    <x v="1"/>
  </r>
  <r>
    <x v="0"/>
    <s v="193-1312975-0-72"/>
    <s v="BCP"/>
    <s v="TRAN.CTAS.TERC.BM 1580303"/>
    <d v="2017-04-21T00:00:00"/>
    <n v="400"/>
    <n v="201704"/>
    <n v="3316233"/>
    <n v="400"/>
    <x v="2"/>
    <x v="5"/>
    <x v="0"/>
    <x v="0"/>
    <x v="1"/>
  </r>
  <r>
    <x v="0"/>
    <s v="193-1312975-0-72"/>
    <s v="BCP"/>
    <s v="TRANSF DE OTRA CTA 5763459"/>
    <d v="2017-04-20T00:00:00"/>
    <n v="1009"/>
    <n v="201704"/>
    <n v="3315812"/>
    <n v="1009"/>
    <x v="2"/>
    <x v="5"/>
    <x v="0"/>
    <x v="0"/>
    <x v="1"/>
  </r>
  <r>
    <x v="0"/>
    <s v="0661-63-0200043647"/>
    <s v="BBVA"/>
    <s v="ALFONSO YAPIAS LA VICTORIA 34877"/>
    <d v="2017-04-19T00:00:00"/>
    <n v="120"/>
    <n v="201704"/>
    <n v="3315139"/>
    <n v="120"/>
    <x v="2"/>
    <x v="5"/>
    <x v="0"/>
    <x v="0"/>
    <x v="0"/>
  </r>
  <r>
    <x v="1"/>
    <s v="194-09096274-1-54"/>
    <s v="BCP"/>
    <s v="DEP.EN EFECTIVO 687243"/>
    <d v="2017-04-19T00:00:00"/>
    <n v="124.18"/>
    <n v="201704"/>
    <n v="3315151"/>
    <n v="418.48660000000001"/>
    <x v="2"/>
    <x v="5"/>
    <x v="0"/>
    <x v="0"/>
    <x v="1"/>
  </r>
  <r>
    <x v="0"/>
    <s v="193-1312975-0-72"/>
    <s v="BCP"/>
    <s v="TRAN.CTAS.TERC.BM 3798780"/>
    <d v="2017-04-15T00:00:00"/>
    <n v="600"/>
    <n v="201704"/>
    <n v="3313648"/>
    <n v="600"/>
    <x v="2"/>
    <x v="5"/>
    <x v="0"/>
    <x v="0"/>
    <x v="1"/>
  </r>
  <r>
    <x v="0"/>
    <s v="0661-63-0200043647"/>
    <s v="BBVA"/>
    <s v="GASTVAR BANCA AUTOMATIC 34707"/>
    <d v="2017-04-11T00:00:00"/>
    <n v="4000"/>
    <n v="201704"/>
    <n v="3312954"/>
    <n v="4000"/>
    <x v="2"/>
    <x v="5"/>
    <x v="0"/>
    <x v="0"/>
    <x v="0"/>
  </r>
  <r>
    <x v="1"/>
    <s v="193-1342935-1-08"/>
    <s v="BCP"/>
    <s v="TRANSF DE OTRA CTA 6105819"/>
    <d v="2017-04-11T00:00:00"/>
    <n v="126.39"/>
    <n v="201704"/>
    <n v="3312859"/>
    <n v="425.93430000000001"/>
    <x v="2"/>
    <x v="5"/>
    <x v="0"/>
    <x v="0"/>
    <x v="1"/>
  </r>
  <r>
    <x v="0"/>
    <s v="044-460-0009-24"/>
    <s v="SCOTIA"/>
    <s v="DEPOSITO EN EFECTIVO 500010113"/>
    <d v="2017-04-07T00:00:00"/>
    <n v="1100"/>
    <n v="201704"/>
    <n v="3311968"/>
    <n v="1100"/>
    <x v="2"/>
    <x v="5"/>
    <x v="0"/>
    <x v="0"/>
    <x v="1"/>
  </r>
  <r>
    <x v="0"/>
    <s v="0661-63-0200043647"/>
    <s v="BBVA"/>
    <s v="JUN LI X BANCA AUTOMATIC 34535"/>
    <d v="2017-04-05T00:00:00"/>
    <n v="1"/>
    <n v="201704"/>
    <n v="3311073"/>
    <n v="1"/>
    <x v="2"/>
    <x v="5"/>
    <x v="0"/>
    <x v="0"/>
    <x v="0"/>
  </r>
  <r>
    <x v="1"/>
    <s v="142-75-0200064790"/>
    <s v="BBVA"/>
    <s v="INGRESO EN EFECTIVO VENEZUELA 3 35949"/>
    <d v="2017-04-05T00:00:00"/>
    <n v="500"/>
    <n v="201704"/>
    <n v="3310825"/>
    <n v="1685"/>
    <x v="2"/>
    <x v="5"/>
    <x v="0"/>
    <x v="0"/>
    <x v="1"/>
  </r>
  <r>
    <x v="1"/>
    <s v="193-1342935-1-08"/>
    <s v="BCP"/>
    <s v="TRA O/CTA 7914"/>
    <d v="2017-04-05T00:00:00"/>
    <n v="1"/>
    <n v="201704"/>
    <n v="3310831"/>
    <n v="3.37"/>
    <x v="2"/>
    <x v="5"/>
    <x v="0"/>
    <x v="0"/>
    <x v="1"/>
  </r>
  <r>
    <x v="0"/>
    <s v="100-0006228"/>
    <s v="BANBIF"/>
    <s v="I/S-030417 I966242 0304170003"/>
    <d v="2017-04-03T00:00:00"/>
    <n v="1000"/>
    <n v="201704"/>
    <n v="3309312"/>
    <n v="1000"/>
    <x v="2"/>
    <x v="5"/>
    <x v="0"/>
    <x v="0"/>
    <x v="1"/>
  </r>
  <r>
    <x v="0"/>
    <s v="193-1312975-0-72"/>
    <s v="BCP"/>
    <s v="TRAN.CTAS.TERC.BM 7819663"/>
    <d v="2017-04-03T00:00:00"/>
    <n v="857.09"/>
    <n v="201704"/>
    <n v="3309477"/>
    <n v="857.09"/>
    <x v="2"/>
    <x v="5"/>
    <x v="0"/>
    <x v="0"/>
    <x v="1"/>
  </r>
  <r>
    <x v="1"/>
    <s v="193-1342935-1-08"/>
    <s v="BCP"/>
    <s v="TRANSF DE OTRA CTA 3218924"/>
    <d v="2017-04-03T00:00:00"/>
    <n v="1215.08"/>
    <n v="201704"/>
    <n v="3309948"/>
    <n v="4094.8195999999998"/>
    <x v="2"/>
    <x v="5"/>
    <x v="0"/>
    <x v="0"/>
    <x v="1"/>
  </r>
  <r>
    <x v="0"/>
    <s v="0661-63-0200043647"/>
    <s v="BBVA"/>
    <s v="GIANCARLO TORRES FLORES 34405"/>
    <d v="2017-04-03T00:00:00"/>
    <n v="0.8"/>
    <n v="201704"/>
    <n v="3309450"/>
    <n v="0.8"/>
    <x v="2"/>
    <x v="5"/>
    <x v="0"/>
    <x v="0"/>
    <x v="0"/>
  </r>
  <r>
    <x v="0"/>
    <s v="193-1312975-0-72"/>
    <s v="BCP"/>
    <s v="TRANSF DE OTRA CTA 721958"/>
    <d v="2017-03-31T00:00:00"/>
    <n v="100"/>
    <n v="201703"/>
    <n v="3309110"/>
    <n v="100"/>
    <x v="2"/>
    <x v="6"/>
    <x v="0"/>
    <x v="0"/>
    <x v="1"/>
  </r>
  <r>
    <x v="1"/>
    <s v="193-1342935-1-08"/>
    <s v="BCP"/>
    <s v="TRANSF DE OTRA CTA 6215460"/>
    <d v="2017-03-31T00:00:00"/>
    <n v="1000"/>
    <n v="201703"/>
    <n v="3308614"/>
    <n v="3370"/>
    <x v="2"/>
    <x v="6"/>
    <x v="0"/>
    <x v="0"/>
    <x v="1"/>
  </r>
  <r>
    <x v="0"/>
    <s v="193-1312975-0-72"/>
    <s v="BCP"/>
    <s v="TRANSF DE OTRA CTA 1956425"/>
    <d v="2017-03-28T00:00:00"/>
    <n v="250"/>
    <n v="201703"/>
    <n v="3307259"/>
    <n v="250"/>
    <x v="2"/>
    <x v="6"/>
    <x v="0"/>
    <x v="0"/>
    <x v="1"/>
  </r>
  <r>
    <x v="0"/>
    <s v="193-1312975-0-72"/>
    <s v="BCP"/>
    <s v="TRAN.CTAS.TERC.BM 7622317"/>
    <d v="2017-03-27T00:00:00"/>
    <n v="300"/>
    <n v="201703"/>
    <n v="3306995"/>
    <n v="300"/>
    <x v="2"/>
    <x v="6"/>
    <x v="0"/>
    <x v="0"/>
    <x v="1"/>
  </r>
  <r>
    <x v="1"/>
    <s v="142-75-0200064790"/>
    <s v="BBVA"/>
    <s v="EDWIN JUNIOR VEGAS LOPEZ 35750"/>
    <d v="2017-03-25T00:00:00"/>
    <n v="120"/>
    <n v="201703"/>
    <n v="3306677"/>
    <n v="404.40000000000003"/>
    <x v="2"/>
    <x v="6"/>
    <x v="0"/>
    <x v="0"/>
    <x v="0"/>
  </r>
  <r>
    <x v="0"/>
    <s v="193-1312975-0-72"/>
    <s v="BCP"/>
    <s v="TRANSF DE OTRA CTA 6437085"/>
    <d v="2017-03-23T00:00:00"/>
    <n v="200"/>
    <n v="201703"/>
    <n v="3305952"/>
    <n v="200"/>
    <x v="2"/>
    <x v="6"/>
    <x v="0"/>
    <x v="0"/>
    <x v="1"/>
  </r>
  <r>
    <x v="0"/>
    <s v="041-3000106330"/>
    <s v="IBK"/>
    <s v="DEP. EFECTIVO TIENDA 2003170005"/>
    <d v="2017-03-20T00:00:00"/>
    <n v="60"/>
    <n v="201703"/>
    <n v="3304354"/>
    <n v="60"/>
    <x v="2"/>
    <x v="6"/>
    <x v="0"/>
    <x v="0"/>
    <x v="1"/>
  </r>
  <r>
    <x v="0"/>
    <s v="100-0006228"/>
    <s v="BANBIF"/>
    <s v="I/S-200317 I896661 2003170015"/>
    <d v="2017-03-20T00:00:00"/>
    <n v="100000"/>
    <n v="201703"/>
    <n v="3304704"/>
    <n v="100000"/>
    <x v="2"/>
    <x v="6"/>
    <x v="0"/>
    <x v="0"/>
    <x v="1"/>
  </r>
  <r>
    <x v="0"/>
    <s v="193-1312975-0-72"/>
    <s v="BCP"/>
    <s v="TRANSF DE OTRA CTA 9291146"/>
    <d v="2017-03-16T00:00:00"/>
    <n v="1491.75"/>
    <n v="201703"/>
    <n v="3303285"/>
    <n v="1491.75"/>
    <x v="2"/>
    <x v="6"/>
    <x v="0"/>
    <x v="0"/>
    <x v="1"/>
  </r>
  <r>
    <x v="1"/>
    <s v="01-044-460-0006-21"/>
    <s v="SCOTIA"/>
    <s v="DEPOSITO EN EFECTIVO 500010097"/>
    <d v="2017-03-16T00:00:00"/>
    <n v="39.24"/>
    <n v="201703"/>
    <n v="3303537"/>
    <n v="132.2388"/>
    <x v="2"/>
    <x v="6"/>
    <x v="0"/>
    <x v="0"/>
    <x v="1"/>
  </r>
  <r>
    <x v="1"/>
    <s v="01-044-460-0006-21"/>
    <s v="SCOTIA"/>
    <s v="DEPOSITO EN EFECTIVO 500010030"/>
    <d v="2017-03-15T00:00:00"/>
    <n v="20"/>
    <n v="201703"/>
    <n v="3302900"/>
    <n v="67.400000000000006"/>
    <x v="2"/>
    <x v="6"/>
    <x v="0"/>
    <x v="0"/>
    <x v="1"/>
  </r>
  <r>
    <x v="0"/>
    <s v="193-1312975-0-72"/>
    <s v="BCP"/>
    <s v="TRA O/CTA - AGENTE 221867"/>
    <d v="2017-03-14T00:00:00"/>
    <n v="200"/>
    <n v="201703"/>
    <n v="3302541"/>
    <n v="200"/>
    <x v="2"/>
    <x v="6"/>
    <x v="0"/>
    <x v="0"/>
    <x v="1"/>
  </r>
  <r>
    <x v="0"/>
    <s v="193-1312975-0-72"/>
    <s v="BCP"/>
    <s v="TRANSF DE OTRA CTA 744397"/>
    <d v="2017-03-14T00:00:00"/>
    <n v="652.14"/>
    <n v="201703"/>
    <n v="3302441"/>
    <n v="652.14"/>
    <x v="2"/>
    <x v="6"/>
    <x v="0"/>
    <x v="0"/>
    <x v="1"/>
  </r>
  <r>
    <x v="0"/>
    <s v="193-1312975-0-72"/>
    <s v="BCP"/>
    <s v="DE OPERACIONES GENERAL 3041414"/>
    <d v="2017-03-13T00:00:00"/>
    <n v="427.91"/>
    <n v="201703"/>
    <n v="3302083"/>
    <n v="427.91"/>
    <x v="2"/>
    <x v="6"/>
    <x v="0"/>
    <x v="0"/>
    <x v="0"/>
  </r>
  <r>
    <x v="1"/>
    <s v="142-75-0200064790"/>
    <s v="BBVA"/>
    <s v="INGRESO EN EFECTIVO OF. LA ROTONDA 35497"/>
    <d v="2017-03-10T00:00:00"/>
    <n v="4800"/>
    <n v="201703"/>
    <n v="3301504"/>
    <n v="16176"/>
    <x v="2"/>
    <x v="6"/>
    <x v="0"/>
    <x v="0"/>
    <x v="1"/>
  </r>
  <r>
    <x v="0"/>
    <s v="193-1312975-0-72"/>
    <s v="BCP"/>
    <s v="TRAN.CTAS.TERC.BM 5537276"/>
    <d v="2017-03-09T00:00:00"/>
    <n v="100"/>
    <n v="201703"/>
    <n v="3300956"/>
    <n v="100"/>
    <x v="2"/>
    <x v="6"/>
    <x v="0"/>
    <x v="0"/>
    <x v="1"/>
  </r>
  <r>
    <x v="0"/>
    <s v="0661-63-0200043647"/>
    <s v="BBVA"/>
    <s v="DEPOS. EN CTA. 001106610200043647 33686"/>
    <d v="2017-03-06T00:00:00"/>
    <n v="400"/>
    <n v="201703"/>
    <n v="3299822"/>
    <n v="400"/>
    <x v="2"/>
    <x v="6"/>
    <x v="0"/>
    <x v="0"/>
    <x v="1"/>
  </r>
  <r>
    <x v="0"/>
    <s v="193-1312975-0-72"/>
    <s v="BCP"/>
    <s v="TRAN.CTAS.TERC.BM 9734308"/>
    <d v="2017-03-04T00:00:00"/>
    <n v="360"/>
    <n v="201703"/>
    <n v="3299318"/>
    <n v="360"/>
    <x v="2"/>
    <x v="6"/>
    <x v="0"/>
    <x v="0"/>
    <x v="1"/>
  </r>
  <r>
    <x v="0"/>
    <s v="193-1312975-0-72"/>
    <s v="BCP"/>
    <s v="ENTR.EFEC. 0249381 249381"/>
    <d v="2017-03-03T00:00:00"/>
    <n v="277.08"/>
    <n v="201703"/>
    <n v="3299222"/>
    <n v="277.08"/>
    <x v="2"/>
    <x v="6"/>
    <x v="0"/>
    <x v="0"/>
    <x v="1"/>
  </r>
  <r>
    <x v="1"/>
    <s v="142-75-0200064790"/>
    <s v="BBVA"/>
    <s v="INGRESO EN EFECTIVO VENEZUELA 3 35366"/>
    <d v="2017-03-03T00:00:00"/>
    <n v="500"/>
    <n v="201703"/>
    <n v="3298860"/>
    <n v="1685"/>
    <x v="2"/>
    <x v="6"/>
    <x v="0"/>
    <x v="0"/>
    <x v="1"/>
  </r>
  <r>
    <x v="1"/>
    <s v="194-09096274-1-54"/>
    <s v="BCP"/>
    <s v="825650"/>
    <d v="2017-03-03T00:00:00"/>
    <n v="124.37"/>
    <n v="201703"/>
    <n v="3378190"/>
    <n v="419.12690000000003"/>
    <x v="2"/>
    <x v="6"/>
    <x v="0"/>
    <x v="0"/>
    <x v="1"/>
  </r>
  <r>
    <x v="0"/>
    <s v="193-1312975-0-72"/>
    <s v="BCP"/>
    <s v="TRANSF DE OTRA CTA 6284932"/>
    <d v="2017-03-02T00:00:00"/>
    <n v="1200"/>
    <n v="201703"/>
    <n v="3298700"/>
    <n v="1200"/>
    <x v="2"/>
    <x v="6"/>
    <x v="0"/>
    <x v="0"/>
    <x v="1"/>
  </r>
  <r>
    <x v="1"/>
    <s v="193-1342935-1-08"/>
    <s v="BCP"/>
    <s v="TRANSF DE OTRA CTA"/>
    <d v="2017-03-02T00:00:00"/>
    <n v="150.6"/>
    <n v="201703"/>
    <n v="3347967"/>
    <n v="507.52199999999999"/>
    <x v="2"/>
    <x v="6"/>
    <x v="0"/>
    <x v="0"/>
    <x v="1"/>
  </r>
  <r>
    <x v="0"/>
    <s v="193-1312975-0-72"/>
    <s v="BCP"/>
    <s v="ENTR.EFEC. 0337697 337697"/>
    <d v="2017-03-01T00:00:00"/>
    <n v="544"/>
    <n v="201703"/>
    <n v="3297798"/>
    <n v="544"/>
    <x v="2"/>
    <x v="6"/>
    <x v="0"/>
    <x v="0"/>
    <x v="1"/>
  </r>
  <r>
    <x v="0"/>
    <s v="193-1312975-0-72"/>
    <s v="BCP"/>
    <s v="TRANSF DE OTRA CTA 861276"/>
    <d v="2017-03-01T00:00:00"/>
    <n v="142"/>
    <n v="201703"/>
    <n v="3298186"/>
    <n v="142"/>
    <x v="2"/>
    <x v="6"/>
    <x v="0"/>
    <x v="0"/>
    <x v="1"/>
  </r>
  <r>
    <x v="0"/>
    <s v="044-460-0009-24"/>
    <s v="SCOTIA"/>
    <s v="TRANSFERENCIA ENTRE CUENTAS 4651059342"/>
    <d v="2017-03-01T00:00:00"/>
    <n v="300"/>
    <n v="201703"/>
    <n v="3298000"/>
    <n v="300"/>
    <x v="2"/>
    <x v="6"/>
    <x v="0"/>
    <x v="0"/>
    <x v="1"/>
  </r>
  <r>
    <x v="0"/>
    <s v="193-1312975-0-72"/>
    <s v="BCP"/>
    <s v="TRANSF DE OTRA CTA 1925635"/>
    <d v="2017-02-28T00:00:00"/>
    <n v="20"/>
    <n v="201702"/>
    <n v="3297241"/>
    <n v="20"/>
    <x v="2"/>
    <x v="7"/>
    <x v="0"/>
    <x v="0"/>
    <x v="1"/>
  </r>
  <r>
    <x v="0"/>
    <s v="193-1312975-0-72"/>
    <s v="BCP"/>
    <s v="TRA O/CTA 6653"/>
    <d v="2017-02-27T00:00:00"/>
    <n v="200"/>
    <n v="201702"/>
    <n v="3296793"/>
    <n v="200"/>
    <x v="2"/>
    <x v="7"/>
    <x v="0"/>
    <x v="0"/>
    <x v="1"/>
  </r>
  <r>
    <x v="1"/>
    <s v="193-1342935-1-08"/>
    <s v="BCP"/>
    <s v="TRAN.CTAS.TERC.BM 633490"/>
    <d v="2017-02-27T00:00:00"/>
    <n v="70"/>
    <n v="201702"/>
    <n v="3296626"/>
    <n v="235.9"/>
    <x v="2"/>
    <x v="7"/>
    <x v="0"/>
    <x v="0"/>
    <x v="1"/>
  </r>
  <r>
    <x v="1"/>
    <s v="193-1342935-1-08"/>
    <s v="BCP"/>
    <s v="ENTR.EFEC. 0579469 579469"/>
    <d v="2017-02-24T00:00:00"/>
    <n v="452.1"/>
    <n v="201702"/>
    <n v="3295930"/>
    <n v="1523.5770000000002"/>
    <x v="2"/>
    <x v="7"/>
    <x v="0"/>
    <x v="0"/>
    <x v="1"/>
  </r>
  <r>
    <x v="0"/>
    <s v="044-460-0009-24"/>
    <s v="SCOTIA"/>
    <s v="TRANSFERENCIA ENTRE CUENTAS 4651053800"/>
    <d v="2017-02-23T00:00:00"/>
    <n v="100"/>
    <n v="201702"/>
    <n v="3295655"/>
    <n v="100"/>
    <x v="2"/>
    <x v="7"/>
    <x v="0"/>
    <x v="0"/>
    <x v="1"/>
  </r>
  <r>
    <x v="0"/>
    <s v="100-0006228"/>
    <s v="BANBIF"/>
    <s v="COD. - 28681 DEVOLUCÓN 2202170006"/>
    <d v="2017-02-22T00:00:00"/>
    <n v="3111.54"/>
    <n v="201702"/>
    <n v="3295091"/>
    <n v="3111.54"/>
    <x v="2"/>
    <x v="7"/>
    <x v="0"/>
    <x v="0"/>
    <x v="1"/>
  </r>
  <r>
    <x v="0"/>
    <s v="193-1312975-0-72"/>
    <s v="BCP"/>
    <s v="TRANSF DE OTRA CTA 9539224"/>
    <d v="2017-02-20T00:00:00"/>
    <n v="1"/>
    <n v="201702"/>
    <n v="3294261"/>
    <n v="1"/>
    <x v="2"/>
    <x v="7"/>
    <x v="0"/>
    <x v="0"/>
    <x v="1"/>
  </r>
  <r>
    <x v="0"/>
    <s v="193-1312975-0-72"/>
    <s v="BCP"/>
    <s v="DEP EFECT SOL ATM 2159"/>
    <d v="2017-02-20T00:00:00"/>
    <n v="700"/>
    <n v="201702"/>
    <n v="3294320"/>
    <n v="700"/>
    <x v="2"/>
    <x v="7"/>
    <x v="0"/>
    <x v="0"/>
    <x v="1"/>
  </r>
  <r>
    <x v="0"/>
    <s v="0661-63-0200043647"/>
    <s v="BBVA"/>
    <s v="EFECTIVO OF G CHALACA"/>
    <d v="2017-02-18T00:00:00"/>
    <n v="982.8"/>
    <n v="201702"/>
    <n v="3347968"/>
    <n v="982.8"/>
    <x v="2"/>
    <x v="7"/>
    <x v="0"/>
    <x v="0"/>
    <x v="1"/>
  </r>
  <r>
    <x v="0"/>
    <s v="193-1312975-0-72"/>
    <s v="BCP"/>
    <s v="ENTR.EFEC. 0461961 461961"/>
    <d v="2017-02-18T00:00:00"/>
    <n v="50"/>
    <n v="201702"/>
    <n v="3293878"/>
    <n v="50"/>
    <x v="2"/>
    <x v="7"/>
    <x v="0"/>
    <x v="0"/>
    <x v="1"/>
  </r>
  <r>
    <x v="0"/>
    <s v="193-1312975-0-72"/>
    <s v="BCP"/>
    <s v="ENTR.EFEC. 0461924 461924"/>
    <d v="2017-02-18T00:00:00"/>
    <n v="50"/>
    <n v="201702"/>
    <n v="3293879"/>
    <n v="50"/>
    <x v="2"/>
    <x v="7"/>
    <x v="0"/>
    <x v="0"/>
    <x v="1"/>
  </r>
  <r>
    <x v="1"/>
    <s v="142-75-0200064790"/>
    <s v="BBVA"/>
    <s v="COOP DE AHORRO PACIFICO 35124"/>
    <d v="2017-02-17T00:00:00"/>
    <n v="33.01"/>
    <n v="201702"/>
    <n v="3293578"/>
    <n v="111.24369999999999"/>
    <x v="2"/>
    <x v="7"/>
    <x v="0"/>
    <x v="0"/>
    <x v="1"/>
  </r>
  <r>
    <x v="0"/>
    <s v="193-1312975-0-72"/>
    <s v="BCP"/>
    <s v="ENTR.EFEC. 0843047 843047"/>
    <d v="2017-02-13T00:00:00"/>
    <n v="140"/>
    <n v="201702"/>
    <n v="3291935"/>
    <n v="140"/>
    <x v="2"/>
    <x v="7"/>
    <x v="0"/>
    <x v="0"/>
    <x v="1"/>
  </r>
  <r>
    <x v="0"/>
    <s v="193-1312975-0-72"/>
    <s v="BCP"/>
    <s v="TRA O/CTA - AGENTE 119443"/>
    <d v="2017-02-10T00:00:00"/>
    <n v="170"/>
    <n v="201702"/>
    <n v="3291788"/>
    <n v="170"/>
    <x v="2"/>
    <x v="7"/>
    <x v="0"/>
    <x v="0"/>
    <x v="1"/>
  </r>
  <r>
    <x v="1"/>
    <s v="193-1342935-1-08"/>
    <s v="BCP"/>
    <s v="TRANSF DE OTRA CTA 2281442"/>
    <d v="2017-02-09T00:00:00"/>
    <n v="50"/>
    <n v="201702"/>
    <n v="3291304"/>
    <n v="168.5"/>
    <x v="2"/>
    <x v="7"/>
    <x v="0"/>
    <x v="0"/>
    <x v="1"/>
  </r>
  <r>
    <x v="0"/>
    <s v="193-1312975-0-72"/>
    <s v="BCP"/>
    <s v="TRANSF DE OTRA CTA 5583072"/>
    <d v="2017-02-06T00:00:00"/>
    <n v="150"/>
    <n v="201702"/>
    <n v="3289765"/>
    <n v="150"/>
    <x v="2"/>
    <x v="7"/>
    <x v="0"/>
    <x v="0"/>
    <x v="1"/>
  </r>
  <r>
    <x v="1"/>
    <s v="194-09096274-1-54"/>
    <s v="BCP"/>
    <s v="DEP.EN EFECTIVO 576805"/>
    <d v="2017-02-06T00:00:00"/>
    <n v="124.56"/>
    <n v="201702"/>
    <n v="3290298"/>
    <n v="419.7672"/>
    <x v="2"/>
    <x v="7"/>
    <x v="0"/>
    <x v="0"/>
    <x v="1"/>
  </r>
  <r>
    <x v="0"/>
    <s v="0661-63-0200043647"/>
    <s v="BBVA"/>
    <s v="INGRESO EN EFECTIVO CORPAC 32880"/>
    <d v="2017-02-04T00:00:00"/>
    <n v="700"/>
    <n v="201702"/>
    <n v="3289790"/>
    <n v="700"/>
    <x v="2"/>
    <x v="7"/>
    <x v="0"/>
    <x v="0"/>
    <x v="1"/>
  </r>
  <r>
    <x v="1"/>
    <s v="142-75-0200064790"/>
    <s v="BBVA"/>
    <s v="INGRESO EN EFECTIVO VENEZUELA 3 34932"/>
    <d v="2017-02-03T00:00:00"/>
    <n v="500"/>
    <n v="201702"/>
    <n v="3289405"/>
    <n v="1685"/>
    <x v="2"/>
    <x v="7"/>
    <x v="0"/>
    <x v="0"/>
    <x v="1"/>
  </r>
  <r>
    <x v="0"/>
    <s v="193-1312975-0-72"/>
    <s v="BCP"/>
    <s v="TRANSF DE OTRA CTA 4624501"/>
    <d v="2017-02-02T00:00:00"/>
    <n v="1200"/>
    <n v="201702"/>
    <n v="3289012"/>
    <n v="1200"/>
    <x v="2"/>
    <x v="7"/>
    <x v="0"/>
    <x v="0"/>
    <x v="1"/>
  </r>
  <r>
    <x v="0"/>
    <s v="193-1312975-0-72"/>
    <s v="BCP"/>
    <s v="ENTR.EFEC. 0582387 582387"/>
    <d v="2017-01-27T00:00:00"/>
    <n v="400"/>
    <n v="201701"/>
    <n v="3235938"/>
    <n v="400"/>
    <x v="2"/>
    <x v="8"/>
    <x v="0"/>
    <x v="0"/>
    <x v="1"/>
  </r>
  <r>
    <x v="0"/>
    <s v="193-1312975-0-72"/>
    <s v="BCP"/>
    <s v="TRAN.CTAS.TERC.BM 3274609"/>
    <d v="2017-01-26T00:00:00"/>
    <n v="60"/>
    <n v="201701"/>
    <n v="3235576"/>
    <n v="60"/>
    <x v="2"/>
    <x v="8"/>
    <x v="0"/>
    <x v="0"/>
    <x v="1"/>
  </r>
  <r>
    <x v="0"/>
    <s v="044-460-0009-24"/>
    <s v="SCOTIA"/>
    <s v="DEPOSITO EN EFECTIVO 500010074"/>
    <d v="2017-01-26T00:00:00"/>
    <n v="91"/>
    <n v="201701"/>
    <n v="3235439"/>
    <n v="91"/>
    <x v="2"/>
    <x v="8"/>
    <x v="0"/>
    <x v="0"/>
    <x v="1"/>
  </r>
  <r>
    <x v="0"/>
    <s v="193-1312975-0-72"/>
    <s v="BCP"/>
    <s v="TRANSF DE OTRA CTA 3347582"/>
    <d v="2017-01-19T00:00:00"/>
    <n v="7.96"/>
    <n v="201701"/>
    <n v="3005624"/>
    <n v="7.96"/>
    <x v="2"/>
    <x v="8"/>
    <x v="0"/>
    <x v="0"/>
    <x v="1"/>
  </r>
  <r>
    <x v="0"/>
    <s v="193-1312975-0-72"/>
    <s v="BCP"/>
    <s v="TRANSF DE OTRA CTA 8017151"/>
    <d v="2017-01-16T00:00:00"/>
    <n v="300"/>
    <n v="201701"/>
    <n v="3004542"/>
    <n v="300"/>
    <x v="2"/>
    <x v="8"/>
    <x v="0"/>
    <x v="0"/>
    <x v="1"/>
  </r>
  <r>
    <x v="0"/>
    <s v="100-0006228"/>
    <s v="BANBIF"/>
    <s v="Transf.Recib.CCE-220   0000455 1301170019"/>
    <d v="2017-01-13T00:00:00"/>
    <n v="3799.6"/>
    <n v="201701"/>
    <n v="3004159"/>
    <n v="3799.6"/>
    <x v="2"/>
    <x v="8"/>
    <x v="0"/>
    <x v="0"/>
    <x v="1"/>
  </r>
  <r>
    <x v="0"/>
    <s v="193-1312975-0-72"/>
    <s v="BCP"/>
    <s v="DE COOPERATIVA DE AHOR 3036241"/>
    <d v="2017-01-12T00:00:00"/>
    <n v="7686.02"/>
    <n v="201701"/>
    <n v="3003668"/>
    <n v="7686.02"/>
    <x v="2"/>
    <x v="8"/>
    <x v="0"/>
    <x v="0"/>
    <x v="0"/>
  </r>
  <r>
    <x v="0"/>
    <s v="193-1312975-0-72"/>
    <s v="BCP"/>
    <s v="TRA O/CTA - AGENTE 105002"/>
    <d v="2017-01-07T00:00:00"/>
    <n v="700"/>
    <n v="201701"/>
    <n v="3002271"/>
    <n v="700"/>
    <x v="2"/>
    <x v="8"/>
    <x v="0"/>
    <x v="0"/>
    <x v="1"/>
  </r>
  <r>
    <x v="1"/>
    <s v="193-1342935-1-08"/>
    <s v="BCP"/>
    <s v="ENTR.EFEC. 0716460 716460"/>
    <d v="2017-01-05T00:00:00"/>
    <n v="644.23"/>
    <n v="201701"/>
    <n v="3001609"/>
    <n v="2171.0551"/>
    <x v="2"/>
    <x v="8"/>
    <x v="0"/>
    <x v="0"/>
    <x v="1"/>
  </r>
  <r>
    <x v="1"/>
    <s v="194-09096274-1-54"/>
    <s v="BCP"/>
    <s v="DEP.EN EFECTIVO 227207"/>
    <d v="2017-01-05T00:00:00"/>
    <n v="124.74"/>
    <n v="201701"/>
    <n v="3001432"/>
    <n v="420.37380000000002"/>
    <x v="2"/>
    <x v="8"/>
    <x v="0"/>
    <x v="0"/>
    <x v="1"/>
  </r>
  <r>
    <x v="1"/>
    <s v="142-75-0200064790"/>
    <s v="BBVA"/>
    <s v="INGRESO EN EFECTIVO VENEZUELA 3 34436"/>
    <d v="2017-01-04T00:00:00"/>
    <n v="500"/>
    <n v="201701"/>
    <n v="3001044"/>
    <n v="1685"/>
    <x v="2"/>
    <x v="8"/>
    <x v="0"/>
    <x v="0"/>
    <x v="1"/>
  </r>
  <r>
    <x v="0"/>
    <s v="193-1312975-0-72"/>
    <s v="BCP"/>
    <s v="TRANSF DE OTRA CTA 6099456"/>
    <d v="2017-01-02T00:00:00"/>
    <n v="1200"/>
    <n v="201701"/>
    <n v="3000286"/>
    <n v="1200"/>
    <x v="2"/>
    <x v="8"/>
    <x v="0"/>
    <x v="0"/>
    <x v="1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  <r>
    <x v="2"/>
    <m/>
    <m/>
    <m/>
    <m/>
    <m/>
    <m/>
    <m/>
    <m/>
    <x v="3"/>
    <x v="12"/>
    <x v="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colGrandTotals="0" itemPrintTitles="1" createdVersion="5" indent="0" outline="1" outlineData="1" multipleFieldFilters="0" chartFormat="5" rowHeaderCaption=" " colHeaderCaption="IDENTIFICABLE">
  <location ref="A4:B8" firstHeaderRow="1" firstDataRow="2" firstDataCol="1"/>
  <pivotFields count="14">
    <pivotField showAll="0"/>
    <pivotField showAll="0"/>
    <pivotField showAll="0"/>
    <pivotField showAll="0"/>
    <pivotField numFmtId="14" multipleItemSelectionAllowed="1" showAll="0"/>
    <pivotField numFmtId="164" showAll="0"/>
    <pivotField showAll="0"/>
    <pivotField dataField="1" showAll="0"/>
    <pivotField showAll="0" defaultSubtotal="0"/>
    <pivotField showAll="0" nonAutoSortDefault="1" defaultSubtotal="0"/>
    <pivotField showAll="0" nonAutoSortDefault="1" defaultSubtotal="0"/>
    <pivotField axis="axisRow" showAll="0" defaultSubtotal="0">
      <items count="3">
        <item sd="0" x="1"/>
        <item sd="0" x="0"/>
        <item x="2"/>
      </items>
    </pivotField>
    <pivotField axis="axisRow" showAll="0" defaultSubtotal="0">
      <items count="4">
        <item x="2"/>
        <item x="1"/>
        <item x="0"/>
        <item x="3"/>
      </items>
    </pivotField>
    <pivotField axis="axisCol" showAll="0">
      <items count="4">
        <item n="NO" h="1" x="1"/>
        <item n="SI" x="0"/>
        <item h="1" x="2"/>
        <item t="default"/>
      </items>
    </pivotField>
  </pivotFields>
  <rowFields count="2">
    <field x="11"/>
    <field x="12"/>
  </rowFields>
  <rowItems count="3">
    <i>
      <x/>
    </i>
    <i>
      <x v="1"/>
    </i>
    <i t="grand">
      <x/>
    </i>
  </rowItems>
  <colFields count="1">
    <field x="13"/>
  </colFields>
  <colItems count="1">
    <i>
      <x v="1"/>
    </i>
  </colItems>
  <dataFields count="1">
    <dataField name=" " fld="7" subtotal="count" baseField="0" baseItem="0"/>
  </dataFields>
  <formats count="3">
    <format dxfId="28">
      <pivotArea outline="0" collapsedLevelsAreSubtotals="1" fieldPosition="0">
        <references count="1">
          <reference field="13" count="0" selected="0"/>
        </references>
      </pivotArea>
    </format>
    <format dxfId="27">
      <pivotArea dataOnly="0" labelOnly="1" fieldPosition="0">
        <references count="1">
          <reference field="13" count="0"/>
        </references>
      </pivotArea>
    </format>
    <format dxfId="26">
      <pivotArea grandCol="1" outline="0" collapsedLevelsAreSubtotals="1" fieldPosition="0"/>
    </format>
  </formats>
  <chartFormats count="9">
    <chartFormat chart="0" format="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colGrandTotals="0" itemPrintTitles="1" createdVersion="5" indent="0" outline="1" outlineData="1" multipleFieldFilters="0" chartFormat="6" rowHeaderCaption=" " colHeaderCaption="IDENTIFICABLE">
  <location ref="A4:C38" firstHeaderRow="1" firstDataRow="3" firstDataCol="1"/>
  <pivotFields count="14">
    <pivotField showAll="0"/>
    <pivotField showAll="0"/>
    <pivotField showAll="0"/>
    <pivotField showAll="0"/>
    <pivotField numFmtId="14" multipleItemSelectionAllowed="1" showAll="0"/>
    <pivotField numFmtId="164" showAll="0"/>
    <pivotField showAll="0"/>
    <pivotField dataField="1" showAll="0"/>
    <pivotField dataField="1" showAll="0" defaultSubtotal="0"/>
    <pivotField axis="axisRow" showAll="0" nonAutoSortDefault="1" defaultSubtotal="0">
      <items count="5">
        <item m="1" x="4"/>
        <item x="2"/>
        <item x="1"/>
        <item x="0"/>
        <item x="3"/>
      </items>
    </pivotField>
    <pivotField axis="axisRow" showAll="0" nonAutoSortDefault="1" defaultSubtotal="0">
      <items count="13"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x="12"/>
      </items>
    </pivotField>
    <pivotField showAll="0" defaultSubtotal="0"/>
    <pivotField showAll="0" defaultSubtotal="0"/>
    <pivotField axis="axisCol" showAll="0">
      <items count="4">
        <item n="NO" h="1" x="1"/>
        <item n="SI" x="0"/>
        <item h="1" x="2"/>
        <item t="default"/>
      </items>
    </pivotField>
  </pivotFields>
  <rowFields count="2">
    <field x="9"/>
    <field x="10"/>
  </rowFields>
  <rowItems count="32">
    <i>
      <x v="1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1"/>
    </i>
    <i>
      <x v="2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2">
    <field x="13"/>
    <field x="-2"/>
  </colFields>
  <colItems count="2">
    <i>
      <x v="1"/>
      <x/>
    </i>
    <i r="1" i="1">
      <x v="1"/>
    </i>
  </colItems>
  <dataFields count="2">
    <dataField name=" " fld="7" subtotal="count" baseField="0" baseItem="0"/>
    <dataField name="Suma de CONSOLIDADO" fld="8" baseField="10" baseItem="7" numFmtId="166"/>
  </dataFields>
  <formats count="7">
    <format dxfId="25">
      <pivotArea outline="0" collapsedLevelsAreSubtotals="1" fieldPosition="0">
        <references count="1">
          <reference field="13" count="0" selected="0"/>
        </references>
      </pivotArea>
    </format>
    <format dxfId="24">
      <pivotArea grandCol="1" outline="0" collapsedLevelsAreSubtotals="1" fieldPosition="0"/>
    </format>
    <format dxfId="23">
      <pivotArea outline="0" collapsedLevelsAreSubtotals="1" fieldPosition="0">
        <references count="2">
          <reference field="4294967294" count="1" selected="0">
            <x v="1"/>
          </reference>
          <reference field="13" count="0" selected="0"/>
        </references>
      </pivotArea>
    </format>
    <format dxfId="22">
      <pivotArea field="-2" type="button" dataOnly="0" labelOnly="1" outline="0" axis="axisCol" fieldPosition="1"/>
    </format>
    <format dxfId="21">
      <pivotArea dataOnly="0" labelOnly="1" outline="0" fieldPosition="0">
        <references count="2">
          <reference field="4294967294" count="1">
            <x v="1"/>
          </reference>
          <reference field="13" count="0" selected="0"/>
        </references>
      </pivotArea>
    </format>
    <format dxfId="20">
      <pivotArea outline="0" fieldPosition="0">
        <references count="1">
          <reference field="4294967294" count="1">
            <x v="1"/>
          </reference>
        </references>
      </pivotArea>
    </format>
    <format dxfId="19">
      <pivotArea dataOnly="0" labelOnly="1" fieldPosition="0">
        <references count="1">
          <reference field="13" count="0"/>
        </references>
      </pivotArea>
    </format>
  </formats>
  <chartFormats count="11">
    <chartFormat chart="0" format="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1"/>
          </reference>
          <reference field="13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itemPrintTitles="1" createdVersion="5" indent="0" outline="1" outlineData="1" multipleFieldFilters="0" chartFormat="3" rowHeaderCaption=" " colHeaderCaption="IDENTIFICABLE">
  <location ref="A4:D42" firstHeaderRow="1" firstDataRow="2" firstDataCol="1"/>
  <pivotFields count="14">
    <pivotField showAll="0"/>
    <pivotField showAll="0"/>
    <pivotField showAll="0"/>
    <pivotField showAll="0"/>
    <pivotField numFmtId="14" multipleItemSelectionAllowed="1" showAll="0"/>
    <pivotField numFmtId="164" showAll="0"/>
    <pivotField showAll="0"/>
    <pivotField dataField="1" showAll="0"/>
    <pivotField showAll="0" defaultSubtotal="0"/>
    <pivotField axis="axisRow" showAll="0" nonAutoSortDefault="1" defaultSubtotal="0">
      <items count="5">
        <item m="1" x="4"/>
        <item x="2"/>
        <item x="1"/>
        <item x="0"/>
        <item x="3"/>
      </items>
    </pivotField>
    <pivotField axis="axisRow" showAll="0" nonAutoSortDefault="1" defaultSubtotal="0">
      <items count="13"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x="12"/>
      </items>
    </pivotField>
    <pivotField showAll="0" defaultSubtotal="0"/>
    <pivotField showAll="0" defaultSubtotal="0"/>
    <pivotField axis="axisCol" showAll="0">
      <items count="4">
        <item n="Si" x="0"/>
        <item n="No" x="1"/>
        <item h="1" x="2"/>
        <item t="default"/>
      </items>
    </pivotField>
  </pivotFields>
  <rowFields count="2">
    <field x="9"/>
    <field x="10"/>
  </rowFields>
  <rowItems count="37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 " fld="7" subtotal="count" baseField="0" baseItem="0"/>
  </dataFields>
  <formats count="4">
    <format dxfId="18">
      <pivotArea outline="0" collapsedLevelsAreSubtotals="1" fieldPosition="0">
        <references count="1">
          <reference field="13" count="0" selected="0"/>
        </references>
      </pivotArea>
    </format>
    <format dxfId="17">
      <pivotArea dataOnly="0" labelOnly="1" fieldPosition="0">
        <references count="1">
          <reference field="13" count="0"/>
        </references>
      </pivotArea>
    </format>
    <format dxfId="16">
      <pivotArea grandCol="1" outline="0" collapsedLevelsAreSubtotals="1" fieldPosition="0"/>
    </format>
    <format dxfId="15">
      <pivotArea dataOnly="0" labelOnly="1" grandCol="1" outline="0" fieldPosition="0"/>
    </format>
  </formats>
  <chartFormats count="6">
    <chartFormat chart="0" format="2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colGrandTotals="0" itemPrintTitles="1" createdVersion="5" indent="0" outline="1" outlineData="1" multipleFieldFilters="0" chartFormat="5" rowHeaderCaption=" " colHeaderCaption="IDENTIFICABLE">
  <location ref="A5:B37" firstHeaderRow="1" firstDataRow="2" firstDataCol="1" rowPageCount="1" colPageCount="1"/>
  <pivotFields count="14">
    <pivotField axis="axisPage" showAll="0">
      <items count="6">
        <item m="1" x="4"/>
        <item m="1" x="3"/>
        <item x="2"/>
        <item x="0"/>
        <item x="1"/>
        <item t="default"/>
      </items>
    </pivotField>
    <pivotField showAll="0"/>
    <pivotField showAll="0"/>
    <pivotField showAll="0"/>
    <pivotField numFmtId="14" multipleItemSelectionAllowed="1" showAll="0"/>
    <pivotField dataField="1" numFmtId="164" showAll="0"/>
    <pivotField showAll="0"/>
    <pivotField showAll="0"/>
    <pivotField showAll="0" defaultSubtotal="0"/>
    <pivotField axis="axisRow" showAll="0" nonAutoSortDefault="1" defaultSubtotal="0">
      <items count="5">
        <item m="1" x="4"/>
        <item x="2"/>
        <item x="1"/>
        <item x="0"/>
        <item x="3"/>
      </items>
    </pivotField>
    <pivotField axis="axisRow" showAll="0" nonAutoSortDefault="1" defaultSubtotal="0">
      <items count="13"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x="12"/>
      </items>
    </pivotField>
    <pivotField showAll="0" defaultSubtotal="0"/>
    <pivotField showAll="0" defaultSubtotal="0"/>
    <pivotField axis="axisCol" showAll="0">
      <items count="4">
        <item n="NO" h="1" x="1"/>
        <item n="IMPORTE" x="0"/>
        <item h="1" x="2"/>
        <item t="default"/>
      </items>
    </pivotField>
  </pivotFields>
  <rowFields count="2">
    <field x="9"/>
    <field x="10"/>
  </rowFields>
  <rowItems count="31">
    <i>
      <x v="1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1"/>
    </i>
    <i>
      <x v="2"/>
    </i>
    <i r="1"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13"/>
  </colFields>
  <colItems count="1">
    <i>
      <x v="1"/>
    </i>
  </colItems>
  <pageFields count="1">
    <pageField fld="0" item="3" hier="-1"/>
  </pageFields>
  <dataFields count="1">
    <dataField name="Suma de IMPORTE" fld="5" baseField="9" baseItem="3" numFmtId="166"/>
  </dataFields>
  <formats count="6">
    <format dxfId="14">
      <pivotArea outline="0" collapsedLevelsAreSubtotals="1" fieldPosition="0">
        <references count="1">
          <reference field="13" count="0" selected="0"/>
        </references>
      </pivotArea>
    </format>
    <format dxfId="13">
      <pivotArea grandCol="1" outline="0" collapsedLevelsAreSubtotals="1" fieldPosition="0"/>
    </format>
    <format dxfId="12">
      <pivotArea outline="0" collapsedLevelsAreSubtotals="1" fieldPosition="0"/>
    </format>
    <format dxfId="11">
      <pivotArea dataOnly="0" labelOnly="1" fieldPosition="0">
        <references count="1">
          <reference field="13" count="0"/>
        </references>
      </pivotArea>
    </format>
    <format dxfId="10">
      <pivotArea dataOnly="0" labelOnly="1" grandCol="1" outline="0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0" format="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4" format="10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colGrandTotals="0" itemPrintTitles="1" createdVersion="5" indent="0" outline="1" outlineData="1" multipleFieldFilters="0" chartFormat="7" rowHeaderCaption=" " colHeaderCaption="IDENTIFICABLE">
  <location ref="A5:B28" firstHeaderRow="1" firstDataRow="2" firstDataCol="1" rowPageCount="1" colPageCount="1"/>
  <pivotFields count="14">
    <pivotField axis="axisPage" showAll="0">
      <items count="6">
        <item m="1" x="4"/>
        <item m="1" x="3"/>
        <item x="2"/>
        <item x="0"/>
        <item x="1"/>
        <item t="default"/>
      </items>
    </pivotField>
    <pivotField showAll="0"/>
    <pivotField showAll="0"/>
    <pivotField showAll="0"/>
    <pivotField numFmtId="14" multipleItemSelectionAllowed="1" showAll="0"/>
    <pivotField dataField="1" numFmtId="164" showAll="0"/>
    <pivotField showAll="0"/>
    <pivotField showAll="0"/>
    <pivotField showAll="0" defaultSubtotal="0"/>
    <pivotField axis="axisRow" showAll="0" nonAutoSortDefault="1" defaultSubtotal="0">
      <items count="5">
        <item m="1" x="4"/>
        <item x="2"/>
        <item x="1"/>
        <item x="0"/>
        <item x="3"/>
      </items>
    </pivotField>
    <pivotField axis="axisRow" showAll="0" nonAutoSortDefault="1" defaultSubtotal="0">
      <items count="13"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x="12"/>
      </items>
    </pivotField>
    <pivotField showAll="0" defaultSubtotal="0"/>
    <pivotField showAll="0" defaultSubtotal="0"/>
    <pivotField axis="axisCol" showAll="0">
      <items count="4">
        <item n="NO" h="1" x="1"/>
        <item n="IMPORTE" x="0"/>
        <item h="1" x="2"/>
        <item t="default"/>
      </items>
    </pivotField>
  </pivotFields>
  <rowFields count="2">
    <field x="9"/>
    <field x="10"/>
  </rowFields>
  <rowItems count="22">
    <i>
      <x v="1"/>
    </i>
    <i r="1">
      <x v="2"/>
    </i>
    <i r="1">
      <x v="6"/>
    </i>
    <i>
      <x v="2"/>
    </i>
    <i r="1">
      <x v="1"/>
    </i>
    <i r="1">
      <x v="3"/>
    </i>
    <i r="1">
      <x v="4"/>
    </i>
    <i r="1">
      <x v="6"/>
    </i>
    <i r="1">
      <x v="8"/>
    </i>
    <i r="1">
      <x v="9"/>
    </i>
    <i r="1">
      <x v="10"/>
    </i>
    <i r="1">
      <x v="11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13"/>
  </colFields>
  <colItems count="1">
    <i>
      <x v="1"/>
    </i>
  </colItems>
  <pageFields count="1">
    <pageField fld="0" item="4" hier="-1"/>
  </pageFields>
  <dataFields count="1">
    <dataField name="Suma de IMPORTE" fld="5" baseField="9" baseItem="9" numFmtId="167"/>
  </dataFields>
  <formats count="6">
    <format dxfId="8">
      <pivotArea outline="0" collapsedLevelsAreSubtotals="1" fieldPosition="0">
        <references count="1">
          <reference field="13" count="0" selected="0"/>
        </references>
      </pivotArea>
    </format>
    <format dxfId="7">
      <pivotArea grandCol="1" outline="0" collapsedLevelsAreSubtotals="1" fieldPosition="0"/>
    </format>
    <format dxfId="6">
      <pivotArea outline="0" collapsedLevelsAreSubtotals="1" fieldPosition="0"/>
    </format>
    <format dxfId="5">
      <pivotArea dataOnly="0" labelOnly="1" fieldPosition="0">
        <references count="1">
          <reference field="13" count="0"/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4" format="10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2" cacheId="0" applyNumberFormats="0" applyBorderFormats="0" applyFontFormats="0" applyPatternFormats="0" applyAlignmentFormats="0" applyWidthHeightFormats="1" dataCaption="Valores" grandTotalCaption="TOTAL" missingCaption="0" updatedVersion="5" minRefreshableVersion="3" colGrandTotals="0" itemPrintTitles="1" createdVersion="5" indent="0" outline="1" outlineData="1" multipleFieldFilters="0" chartFormat="4" rowHeaderCaption=" " colHeaderCaption="IDENTIFICABLE">
  <location ref="A4:B37" firstHeaderRow="1" firstDataRow="2" firstDataCol="1"/>
  <pivotFields count="14">
    <pivotField showAll="0"/>
    <pivotField showAll="0"/>
    <pivotField showAll="0"/>
    <pivotField showAll="0"/>
    <pivotField numFmtId="14" multipleItemSelectionAllowed="1" showAll="0"/>
    <pivotField numFmtId="164" showAll="0"/>
    <pivotField showAll="0"/>
    <pivotField dataField="1" showAll="0"/>
    <pivotField showAll="0" defaultSubtotal="0"/>
    <pivotField axis="axisRow" showAll="0" nonAutoSortDefault="1" defaultSubtotal="0">
      <items count="5">
        <item m="1" x="4"/>
        <item x="2"/>
        <item x="1"/>
        <item x="0"/>
        <item x="3"/>
      </items>
    </pivotField>
    <pivotField axis="axisRow" showAll="0" nonAutoSortDefault="1" defaultSubtotal="0">
      <items count="13"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x="12"/>
      </items>
    </pivotField>
    <pivotField showAll="0" defaultSubtotal="0"/>
    <pivotField showAll="0" defaultSubtotal="0"/>
    <pivotField axis="axisCol" showAll="0">
      <items count="4">
        <item n="NO" h="1" x="1"/>
        <item n="SI" x="0"/>
        <item h="1" x="2"/>
        <item t="default"/>
      </items>
    </pivotField>
  </pivotFields>
  <rowFields count="2">
    <field x="9"/>
    <field x="10"/>
  </rowFields>
  <rowItems count="32">
    <i>
      <x v="1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1"/>
    </i>
    <i>
      <x v="2"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13"/>
  </colFields>
  <colItems count="1">
    <i>
      <x v="1"/>
    </i>
  </colItems>
  <dataFields count="1">
    <dataField name=" " fld="7" subtotal="count" baseField="0" baseItem="0"/>
  </dataFields>
  <formats count="3">
    <format dxfId="2">
      <pivotArea outline="0" collapsedLevelsAreSubtotals="1" fieldPosition="0">
        <references count="1">
          <reference field="13" count="0" selected="0"/>
        </references>
      </pivotArea>
    </format>
    <format dxfId="1">
      <pivotArea dataOnly="0" labelOnly="1" fieldPosition="0">
        <references count="1">
          <reference field="13" count="0"/>
        </references>
      </pivotArea>
    </format>
    <format dxfId="0">
      <pivotArea grandCol="1" outline="0" collapsedLevelsAreSubtotals="1" fieldPosition="0"/>
    </format>
  </formats>
  <chartFormats count="8">
    <chartFormat chart="0" format="2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"/>
  <sheetViews>
    <sheetView tabSelected="1" workbookViewId="0">
      <pane ySplit="1" topLeftCell="A2" activePane="bottomLeft" state="frozen"/>
      <selection pane="bottomLeft" activeCell="M1" sqref="M1"/>
    </sheetView>
  </sheetViews>
  <sheetFormatPr baseColWidth="10" defaultRowHeight="12.75" x14ac:dyDescent="0.2"/>
  <cols>
    <col min="1" max="1" width="7.42578125" customWidth="1"/>
    <col min="2" max="2" width="18.28515625" hidden="1" customWidth="1"/>
    <col min="3" max="3" width="15.28515625" hidden="1" customWidth="1"/>
    <col min="4" max="4" width="21.42578125" style="6" hidden="1" customWidth="1"/>
    <col min="5" max="5" width="12.85546875" style="3" hidden="1" customWidth="1"/>
    <col min="6" max="6" width="64.140625" hidden="1" customWidth="1"/>
    <col min="7" max="7" width="19.5703125" hidden="1" customWidth="1"/>
    <col min="8" max="8" width="11.42578125" hidden="1" customWidth="1"/>
    <col min="9" max="9" width="13.85546875" hidden="1" customWidth="1"/>
    <col min="10" max="10" width="21.7109375" hidden="1" customWidth="1"/>
    <col min="11" max="12" width="23.42578125" hidden="1" customWidth="1"/>
    <col min="13" max="13" width="18.28515625" bestFit="1" customWidth="1"/>
    <col min="14" max="14" width="11.5703125" customWidth="1"/>
    <col min="15" max="15" width="48.7109375" customWidth="1"/>
    <col min="16" max="16" width="11.42578125" style="2"/>
    <col min="17" max="17" width="15.5703125" style="3" customWidth="1"/>
    <col min="18" max="18" width="13.5703125" customWidth="1"/>
    <col min="19" max="19" width="16" customWidth="1"/>
    <col min="20" max="20" width="9.28515625" style="3" hidden="1" customWidth="1"/>
    <col min="21" max="21" width="9.7109375" style="3" hidden="1" customWidth="1"/>
    <col min="22" max="22" width="15.42578125" style="3" hidden="1" customWidth="1"/>
    <col min="23" max="23" width="7.28515625" style="3" hidden="1" customWidth="1"/>
    <col min="24" max="24" width="13.85546875" style="3" hidden="1" customWidth="1"/>
    <col min="25" max="25" width="18.42578125" customWidth="1"/>
  </cols>
  <sheetData>
    <row r="1" spans="1:25" ht="17.25" customHeight="1" x14ac:dyDescent="0.2">
      <c r="A1" s="33" t="s">
        <v>0</v>
      </c>
      <c r="B1" s="30" t="s">
        <v>1</v>
      </c>
      <c r="C1" s="30" t="s">
        <v>2</v>
      </c>
      <c r="D1" s="31" t="s">
        <v>3</v>
      </c>
      <c r="E1" s="32" t="s">
        <v>199</v>
      </c>
      <c r="F1" s="30" t="s">
        <v>200</v>
      </c>
      <c r="G1" s="30" t="s">
        <v>4</v>
      </c>
      <c r="H1" s="30" t="s">
        <v>202</v>
      </c>
      <c r="I1" s="30" t="s">
        <v>203</v>
      </c>
      <c r="J1" s="30" t="s">
        <v>7</v>
      </c>
      <c r="K1" s="30" t="s">
        <v>8</v>
      </c>
      <c r="L1" s="17" t="str">
        <f t="shared" ref="L1" si="0">IF(A1="MONEDA","MONEDA",IF(A1="SOL","Soles","Dolares"))</f>
        <v>MONEDA</v>
      </c>
      <c r="M1" s="8" t="str">
        <f t="shared" ref="M1" si="1">IF(ROW()=1,"CUENTABANCO",B1)</f>
        <v>CUENTABANCO</v>
      </c>
      <c r="N1" s="8" t="str">
        <f>IF(ROW()=1,"BANCO",INDEX(Banco!B:B,MATCH(C1,Banco!A:A,0)))</f>
        <v>BANCO</v>
      </c>
      <c r="O1" s="8" t="str">
        <f>IF(ROW()=1,"GLOSA",IF(ISNUMBER(MATCH(CONCATENATE(H1,I1),Referencia!D:D,0)),INDEX(Referencia!C:C,MATCH(CONCATENATE(H1,I1),Referencia!D:D,0)),SUBSTITUTE(SUBSTITUTE(SUBSTITUTE(F1,"CARGABANCOS - ",""),"ABONO TRAN - ",""),"DEPOSITO BANCO MANUAL -","")))</f>
        <v>GLOSA</v>
      </c>
      <c r="P1" s="7" t="str">
        <f>IF(ROW()=1,"FECHA",D1)</f>
        <v>FECHA</v>
      </c>
      <c r="Q1" s="9" t="str">
        <f t="shared" ref="Q1" si="2">IF(ROW()=1,"IMPORTE",VALUE(E1))</f>
        <v>IMPORTE</v>
      </c>
      <c r="R1" s="8" t="str">
        <f>IF(ROW()=1,"AREA",IF(ISNUMBER(MATCH(CONCATENATE(H1,I1),'Responsable-Especifico'!E:E,0)),INDEX('Responsable-Especifico'!C:C,MATCH(CONCATENATE(H1,I1),'Responsable-Especifico'!E:E,0)),IF(ISNUMBER(MATCH(O1,'Responsable-Glosa'!A:A,0)),INDEX('Responsable-Glosa'!B:B,MATCH(O1,'Responsable-Glosa'!A:A,0)),"SIN DEFINIR")))</f>
        <v>AREA</v>
      </c>
      <c r="S1" s="8" t="str">
        <f>IF(ROW()=1,"ENCARGADO",IF(ISNUMBER(MATCH(CONCATENATE(H1,I1),'Responsable-Especifico'!E:E,0)),INDEX('Responsable-Especifico'!D:D,MATCH(CONCATENATE(H1,I1),'Responsable-Especifico'!E:E,0)),IF(ISNUMBER(MATCH(O1,'Responsable-Glosa'!A:A,0)),INDEX('Responsable-Glosa'!C:C,MATCH(O1,'Responsable-Glosa'!A:A,0)),"SIN DEFINIR")))</f>
        <v>ENCARGADO</v>
      </c>
      <c r="T1" s="8" t="str">
        <f t="shared" ref="T1" si="3">IF(ROW()=1,"PERIODOCAJA",VALUE(H1))</f>
        <v>PERIODOCAJA</v>
      </c>
      <c r="U1" s="8" t="str">
        <f t="shared" ref="U1" si="4">IF(ROW()=1,"NUMEROCAJA",VALUE(I1))</f>
        <v>NUMEROCAJA</v>
      </c>
      <c r="V1" s="9" t="str">
        <f t="shared" ref="V1" si="5">IF(ROW()=1,"CONSOLIDADO",IF(L1="Dolares",Q1*Tipo_de_Cambio,Q1))</f>
        <v>CONSOLIDADO</v>
      </c>
      <c r="W1" s="8" t="str">
        <f t="shared" ref="W1" si="6">IF(ROW()=1,"AÑO",YEAR(P1))</f>
        <v>AÑO</v>
      </c>
      <c r="X1" s="8" t="str">
        <f t="shared" ref="X1" si="7">IF(ROW()=1,"MES",PROPER(TEXT(P1,"MMMM")))</f>
        <v>MES</v>
      </c>
      <c r="Y1" s="8" t="str">
        <f>IF(ROW()=1,"IDENTIFICABLE","")</f>
        <v>IDENTIFICABLE</v>
      </c>
    </row>
  </sheetData>
  <autoFilter ref="A1:Y1" xr:uid="{00000000-0009-0000-0000-000000000000}"/>
  <conditionalFormatting sqref="A1:Y1048576">
    <cfRule type="expression" dxfId="32" priority="3">
      <formula>AND($A1="USD")</formula>
    </cfRule>
    <cfRule type="expression" dxfId="31" priority="4">
      <formula>AND($A1="SOL")</formula>
    </cfRule>
  </conditionalFormatting>
  <conditionalFormatting sqref="Q1:Q1048576">
    <cfRule type="expression" dxfId="30" priority="1">
      <formula>AND($A1="SOL")</formula>
    </cfRule>
    <cfRule type="expression" dxfId="29" priority="2">
      <formula>AND($A1="USD")</formula>
    </cfRule>
  </conditionalFormatting>
  <pageMargins left="0.7" right="0.7" top="0.75" bottom="0.75" header="0.5" footer="0.5"/>
  <pageSetup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Identificar">
          <controlPr defaultSize="0" autoLine="0" autoPict="0" r:id="rId5">
            <anchor moveWithCells="1">
              <from>
                <xdr:col>25</xdr:col>
                <xdr:colOff>142875</xdr:colOff>
                <xdr:row>0</xdr:row>
                <xdr:rowOff>19050</xdr:rowOff>
              </from>
              <to>
                <xdr:col>26</xdr:col>
                <xdr:colOff>314325</xdr:colOff>
                <xdr:row>1</xdr:row>
                <xdr:rowOff>66675</xdr:rowOff>
              </to>
            </anchor>
          </controlPr>
        </control>
      </mc:Choice>
      <mc:Fallback>
        <control shapeId="1040" r:id="rId4" name="btIdentific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10"/>
  <sheetViews>
    <sheetView topLeftCell="A80" workbookViewId="0">
      <selection activeCell="C96" sqref="C96"/>
    </sheetView>
  </sheetViews>
  <sheetFormatPr baseColWidth="10" defaultRowHeight="12.75" x14ac:dyDescent="0.2"/>
  <cols>
    <col min="1" max="1" width="11.42578125" style="21" customWidth="1"/>
    <col min="2" max="2" width="13.85546875" style="21" customWidth="1"/>
    <col min="3" max="3" width="52.7109375" customWidth="1"/>
    <col min="4" max="4" width="14" bestFit="1" customWidth="1"/>
  </cols>
  <sheetData>
    <row r="1" spans="1:6" x14ac:dyDescent="0.2">
      <c r="A1" s="19" t="s">
        <v>5</v>
      </c>
      <c r="B1" s="19" t="s">
        <v>6</v>
      </c>
      <c r="C1" s="1" t="s">
        <v>22</v>
      </c>
      <c r="D1" s="1" t="s">
        <v>22</v>
      </c>
      <c r="F1" s="17" t="s">
        <v>201</v>
      </c>
    </row>
    <row r="2" spans="1:6" x14ac:dyDescent="0.2">
      <c r="A2" s="20" t="s">
        <v>9</v>
      </c>
      <c r="B2" s="20" t="s">
        <v>10</v>
      </c>
      <c r="C2" t="s">
        <v>23</v>
      </c>
      <c r="D2" t="str">
        <f>CONCATENATE(A2,B2)</f>
        <v>2018033030917</v>
      </c>
    </row>
    <row r="3" spans="1:6" x14ac:dyDescent="0.2">
      <c r="A3" s="20" t="s">
        <v>9</v>
      </c>
      <c r="B3" s="20" t="s">
        <v>11</v>
      </c>
      <c r="C3" t="s">
        <v>24</v>
      </c>
      <c r="D3" t="str">
        <f t="shared" ref="D3:D66" si="0">CONCATENATE(A3,B3)</f>
        <v>2018033030253</v>
      </c>
    </row>
    <row r="4" spans="1:6" x14ac:dyDescent="0.2">
      <c r="A4" s="20" t="s">
        <v>9</v>
      </c>
      <c r="B4" s="20" t="s">
        <v>12</v>
      </c>
      <c r="C4" t="s">
        <v>25</v>
      </c>
      <c r="D4" t="str">
        <f t="shared" si="0"/>
        <v>2018033029393</v>
      </c>
    </row>
    <row r="5" spans="1:6" x14ac:dyDescent="0.2">
      <c r="A5" s="20" t="s">
        <v>9</v>
      </c>
      <c r="B5" s="20" t="s">
        <v>13</v>
      </c>
      <c r="C5" t="s">
        <v>26</v>
      </c>
      <c r="D5" t="str">
        <f t="shared" si="0"/>
        <v>2018033028411</v>
      </c>
    </row>
    <row r="6" spans="1:6" x14ac:dyDescent="0.2">
      <c r="A6" s="20" t="s">
        <v>9</v>
      </c>
      <c r="B6" s="20" t="s">
        <v>14</v>
      </c>
      <c r="C6" t="s">
        <v>26</v>
      </c>
      <c r="D6" t="str">
        <f t="shared" si="0"/>
        <v>2018033028412</v>
      </c>
    </row>
    <row r="7" spans="1:6" x14ac:dyDescent="0.2">
      <c r="A7" s="20" t="s">
        <v>9</v>
      </c>
      <c r="B7" s="20" t="s">
        <v>15</v>
      </c>
      <c r="C7" t="s">
        <v>26</v>
      </c>
      <c r="D7" t="str">
        <f t="shared" si="0"/>
        <v>2018033028479</v>
      </c>
    </row>
    <row r="8" spans="1:6" x14ac:dyDescent="0.2">
      <c r="A8" s="20" t="s">
        <v>9</v>
      </c>
      <c r="B8" s="20" t="s">
        <v>16</v>
      </c>
      <c r="C8" t="s">
        <v>27</v>
      </c>
      <c r="D8" t="str">
        <f t="shared" si="0"/>
        <v>2018033026189</v>
      </c>
    </row>
    <row r="9" spans="1:6" x14ac:dyDescent="0.2">
      <c r="A9" s="20" t="s">
        <v>9</v>
      </c>
      <c r="B9" s="20" t="s">
        <v>17</v>
      </c>
      <c r="C9" t="s">
        <v>28</v>
      </c>
      <c r="D9" t="str">
        <f t="shared" si="0"/>
        <v>2018033023795</v>
      </c>
    </row>
    <row r="10" spans="1:6" x14ac:dyDescent="0.2">
      <c r="A10" s="20" t="s">
        <v>18</v>
      </c>
      <c r="B10" s="20" t="s">
        <v>19</v>
      </c>
      <c r="C10" t="s">
        <v>29</v>
      </c>
      <c r="D10" t="str">
        <f t="shared" si="0"/>
        <v>2018023017330</v>
      </c>
    </row>
    <row r="11" spans="1:6" x14ac:dyDescent="0.2">
      <c r="A11" s="20" t="s">
        <v>18</v>
      </c>
      <c r="B11" s="20" t="s">
        <v>20</v>
      </c>
      <c r="C11" t="s">
        <v>30</v>
      </c>
      <c r="D11" t="str">
        <f t="shared" si="0"/>
        <v>2018023012753</v>
      </c>
    </row>
    <row r="12" spans="1:6" x14ac:dyDescent="0.2">
      <c r="A12" s="20" t="s">
        <v>18</v>
      </c>
      <c r="B12" s="20" t="s">
        <v>21</v>
      </c>
      <c r="C12" t="s">
        <v>31</v>
      </c>
      <c r="D12" t="str">
        <f t="shared" si="0"/>
        <v>2018023012213</v>
      </c>
    </row>
    <row r="13" spans="1:6" x14ac:dyDescent="0.2">
      <c r="A13" s="21" t="s">
        <v>9</v>
      </c>
      <c r="B13" s="21" t="s">
        <v>32</v>
      </c>
      <c r="C13" t="s">
        <v>29</v>
      </c>
      <c r="D13" t="str">
        <f t="shared" si="0"/>
        <v>2018033036244</v>
      </c>
    </row>
    <row r="14" spans="1:6" x14ac:dyDescent="0.2">
      <c r="A14" s="21" t="s">
        <v>9</v>
      </c>
      <c r="B14" s="21" t="s">
        <v>33</v>
      </c>
      <c r="C14" t="s">
        <v>29</v>
      </c>
      <c r="D14" t="str">
        <f t="shared" si="0"/>
        <v>2018033036245</v>
      </c>
    </row>
    <row r="15" spans="1:6" x14ac:dyDescent="0.2">
      <c r="A15" s="21" t="s">
        <v>9</v>
      </c>
      <c r="B15" s="21" t="s">
        <v>34</v>
      </c>
      <c r="C15" t="s">
        <v>41</v>
      </c>
      <c r="D15" t="str">
        <f t="shared" si="0"/>
        <v>2018033036246</v>
      </c>
    </row>
    <row r="16" spans="1:6" x14ac:dyDescent="0.2">
      <c r="A16" s="21" t="s">
        <v>9</v>
      </c>
      <c r="B16" s="21" t="s">
        <v>35</v>
      </c>
      <c r="C16" t="s">
        <v>29</v>
      </c>
      <c r="D16" t="str">
        <f t="shared" si="0"/>
        <v>2018033036247</v>
      </c>
    </row>
    <row r="17" spans="1:4" x14ac:dyDescent="0.2">
      <c r="A17" s="21" t="s">
        <v>9</v>
      </c>
      <c r="B17" s="21" t="s">
        <v>36</v>
      </c>
      <c r="C17" t="s">
        <v>42</v>
      </c>
      <c r="D17" t="str">
        <f t="shared" si="0"/>
        <v>2018033036248</v>
      </c>
    </row>
    <row r="18" spans="1:4" x14ac:dyDescent="0.2">
      <c r="A18" s="21" t="s">
        <v>9</v>
      </c>
      <c r="B18" s="21" t="s">
        <v>37</v>
      </c>
      <c r="C18" t="s">
        <v>43</v>
      </c>
      <c r="D18" t="str">
        <f t="shared" si="0"/>
        <v>2018033036090</v>
      </c>
    </row>
    <row r="19" spans="1:4" x14ac:dyDescent="0.2">
      <c r="A19" s="21" t="s">
        <v>18</v>
      </c>
      <c r="B19" s="21" t="s">
        <v>38</v>
      </c>
      <c r="C19" t="s">
        <v>44</v>
      </c>
      <c r="D19" t="str">
        <f t="shared" si="0"/>
        <v>2018023016407</v>
      </c>
    </row>
    <row r="20" spans="1:4" x14ac:dyDescent="0.2">
      <c r="A20" s="21" t="s">
        <v>18</v>
      </c>
      <c r="B20" s="21" t="s">
        <v>39</v>
      </c>
      <c r="C20" t="s">
        <v>44</v>
      </c>
      <c r="D20" t="str">
        <f t="shared" si="0"/>
        <v>2018023016351</v>
      </c>
    </row>
    <row r="21" spans="1:4" x14ac:dyDescent="0.2">
      <c r="A21" s="21" t="s">
        <v>9</v>
      </c>
      <c r="B21" s="21" t="s">
        <v>40</v>
      </c>
      <c r="C21" t="s">
        <v>45</v>
      </c>
      <c r="D21" t="str">
        <f t="shared" si="0"/>
        <v>2018033035990</v>
      </c>
    </row>
    <row r="22" spans="1:4" x14ac:dyDescent="0.2">
      <c r="A22" s="20" t="s">
        <v>46</v>
      </c>
      <c r="B22" s="20" t="s">
        <v>47</v>
      </c>
      <c r="C22" t="s">
        <v>55</v>
      </c>
      <c r="D22" t="str">
        <f t="shared" si="0"/>
        <v>2018043039852</v>
      </c>
    </row>
    <row r="23" spans="1:4" x14ac:dyDescent="0.2">
      <c r="A23" s="20" t="s">
        <v>46</v>
      </c>
      <c r="B23" s="20" t="s">
        <v>48</v>
      </c>
      <c r="C23" t="s">
        <v>56</v>
      </c>
      <c r="D23" t="str">
        <f t="shared" si="0"/>
        <v>2018043045561</v>
      </c>
    </row>
    <row r="24" spans="1:4" x14ac:dyDescent="0.2">
      <c r="A24" s="20" t="s">
        <v>46</v>
      </c>
      <c r="B24" s="20" t="s">
        <v>49</v>
      </c>
      <c r="C24" t="s">
        <v>57</v>
      </c>
      <c r="D24" t="str">
        <f t="shared" si="0"/>
        <v>2018043041513</v>
      </c>
    </row>
    <row r="25" spans="1:4" x14ac:dyDescent="0.2">
      <c r="A25" s="20" t="s">
        <v>46</v>
      </c>
      <c r="B25" s="20" t="s">
        <v>50</v>
      </c>
      <c r="C25" t="s">
        <v>24</v>
      </c>
      <c r="D25" t="str">
        <f t="shared" si="0"/>
        <v>2018043042246</v>
      </c>
    </row>
    <row r="26" spans="1:4" x14ac:dyDescent="0.2">
      <c r="A26" s="20" t="s">
        <v>46</v>
      </c>
      <c r="B26" s="20" t="s">
        <v>53</v>
      </c>
      <c r="C26" t="s">
        <v>26</v>
      </c>
      <c r="D26" t="str">
        <f t="shared" si="0"/>
        <v>2018043041112</v>
      </c>
    </row>
    <row r="27" spans="1:4" x14ac:dyDescent="0.2">
      <c r="A27" s="20" t="s">
        <v>46</v>
      </c>
      <c r="B27" s="20" t="s">
        <v>51</v>
      </c>
      <c r="C27" t="s">
        <v>26</v>
      </c>
      <c r="D27" t="str">
        <f t="shared" si="0"/>
        <v>2018043041114</v>
      </c>
    </row>
    <row r="28" spans="1:4" x14ac:dyDescent="0.2">
      <c r="A28" s="20" t="s">
        <v>46</v>
      </c>
      <c r="B28" s="20" t="s">
        <v>52</v>
      </c>
      <c r="C28" t="s">
        <v>26</v>
      </c>
      <c r="D28" t="str">
        <f t="shared" si="0"/>
        <v>2018043041113</v>
      </c>
    </row>
    <row r="29" spans="1:4" x14ac:dyDescent="0.2">
      <c r="A29" s="20" t="s">
        <v>46</v>
      </c>
      <c r="B29" s="20" t="s">
        <v>54</v>
      </c>
      <c r="C29" t="s">
        <v>58</v>
      </c>
      <c r="D29" t="str">
        <f t="shared" si="0"/>
        <v>2018043044810</v>
      </c>
    </row>
    <row r="30" spans="1:4" x14ac:dyDescent="0.2">
      <c r="A30" s="20" t="s">
        <v>59</v>
      </c>
      <c r="B30" s="20" t="s">
        <v>61</v>
      </c>
      <c r="C30" t="s">
        <v>67</v>
      </c>
      <c r="D30" t="str">
        <f t="shared" si="0"/>
        <v>2018053056921</v>
      </c>
    </row>
    <row r="31" spans="1:4" x14ac:dyDescent="0.2">
      <c r="A31" s="20" t="s">
        <v>60</v>
      </c>
      <c r="B31" s="20" t="s">
        <v>62</v>
      </c>
      <c r="C31" t="s">
        <v>68</v>
      </c>
      <c r="D31" t="str">
        <f t="shared" si="0"/>
        <v>2018063068532</v>
      </c>
    </row>
    <row r="32" spans="1:4" x14ac:dyDescent="0.2">
      <c r="A32" s="20" t="s">
        <v>60</v>
      </c>
      <c r="B32" s="20" t="s">
        <v>63</v>
      </c>
      <c r="C32" t="s">
        <v>24</v>
      </c>
      <c r="D32" t="str">
        <f t="shared" si="0"/>
        <v>2018063068455</v>
      </c>
    </row>
    <row r="33" spans="1:5" x14ac:dyDescent="0.2">
      <c r="A33" s="20" t="s">
        <v>60</v>
      </c>
      <c r="B33" s="20" t="s">
        <v>64</v>
      </c>
      <c r="C33" t="s">
        <v>69</v>
      </c>
      <c r="D33" t="str">
        <f t="shared" si="0"/>
        <v>2018063068456</v>
      </c>
    </row>
    <row r="34" spans="1:5" x14ac:dyDescent="0.2">
      <c r="A34" s="20" t="s">
        <v>59</v>
      </c>
      <c r="B34" s="20" t="s">
        <v>65</v>
      </c>
      <c r="C34" t="s">
        <v>70</v>
      </c>
      <c r="D34" t="str">
        <f t="shared" si="0"/>
        <v>2018053051945</v>
      </c>
    </row>
    <row r="35" spans="1:5" x14ac:dyDescent="0.2">
      <c r="A35" s="20" t="s">
        <v>60</v>
      </c>
      <c r="B35" s="20" t="s">
        <v>66</v>
      </c>
      <c r="C35" t="s">
        <v>43</v>
      </c>
      <c r="D35" t="str">
        <f t="shared" si="0"/>
        <v>2018063068458</v>
      </c>
    </row>
    <row r="36" spans="1:5" x14ac:dyDescent="0.2">
      <c r="A36" s="21" t="s">
        <v>85</v>
      </c>
      <c r="B36" s="21" t="s">
        <v>92</v>
      </c>
      <c r="C36" t="s">
        <v>70</v>
      </c>
      <c r="D36" t="str">
        <f t="shared" si="0"/>
        <v>2018093103360</v>
      </c>
    </row>
    <row r="37" spans="1:5" x14ac:dyDescent="0.2">
      <c r="A37" s="21" t="s">
        <v>75</v>
      </c>
      <c r="B37" s="21" t="s">
        <v>91</v>
      </c>
      <c r="C37" t="s">
        <v>93</v>
      </c>
      <c r="D37" t="str">
        <f t="shared" si="0"/>
        <v>2018103123977</v>
      </c>
    </row>
    <row r="38" spans="1:5" x14ac:dyDescent="0.2">
      <c r="A38" s="21" t="s">
        <v>71</v>
      </c>
      <c r="B38" s="21" t="s">
        <v>77</v>
      </c>
      <c r="C38" t="s">
        <v>94</v>
      </c>
      <c r="D38" t="str">
        <f t="shared" si="0"/>
        <v>2018123138150</v>
      </c>
    </row>
    <row r="39" spans="1:5" x14ac:dyDescent="0.2">
      <c r="A39" s="21" t="s">
        <v>74</v>
      </c>
      <c r="B39" s="21" t="s">
        <v>90</v>
      </c>
      <c r="C39" t="s">
        <v>95</v>
      </c>
      <c r="D39" t="str">
        <f t="shared" si="0"/>
        <v>2018113126770</v>
      </c>
    </row>
    <row r="40" spans="1:5" x14ac:dyDescent="0.2">
      <c r="A40" s="21" t="s">
        <v>71</v>
      </c>
      <c r="B40" s="21" t="s">
        <v>82</v>
      </c>
      <c r="C40" t="s">
        <v>96</v>
      </c>
      <c r="D40" t="str">
        <f t="shared" si="0"/>
        <v>2018123138800</v>
      </c>
    </row>
    <row r="41" spans="1:5" x14ac:dyDescent="0.2">
      <c r="A41" s="21" t="s">
        <v>72</v>
      </c>
      <c r="B41" s="21" t="s">
        <v>83</v>
      </c>
      <c r="C41" t="s">
        <v>94</v>
      </c>
      <c r="D41" t="str">
        <f t="shared" si="0"/>
        <v>2018073082102</v>
      </c>
    </row>
    <row r="42" spans="1:5" x14ac:dyDescent="0.2">
      <c r="A42" s="21" t="s">
        <v>72</v>
      </c>
      <c r="B42" s="21" t="s">
        <v>84</v>
      </c>
      <c r="C42" t="s">
        <v>97</v>
      </c>
      <c r="D42" t="str">
        <f t="shared" si="0"/>
        <v>2018073076926</v>
      </c>
    </row>
    <row r="43" spans="1:5" x14ac:dyDescent="0.2">
      <c r="A43" s="21" t="s">
        <v>85</v>
      </c>
      <c r="B43" s="21" t="s">
        <v>86</v>
      </c>
      <c r="C43" t="s">
        <v>98</v>
      </c>
      <c r="D43" t="str">
        <f t="shared" si="0"/>
        <v>2018093102479</v>
      </c>
    </row>
    <row r="44" spans="1:5" x14ac:dyDescent="0.2">
      <c r="A44" s="21" t="s">
        <v>73</v>
      </c>
      <c r="B44" s="21" t="s">
        <v>87</v>
      </c>
      <c r="C44" t="s">
        <v>99</v>
      </c>
      <c r="D44" t="str">
        <f t="shared" si="0"/>
        <v>2018083093532</v>
      </c>
      <c r="E44" s="4"/>
    </row>
    <row r="45" spans="1:5" x14ac:dyDescent="0.2">
      <c r="A45" s="21" t="s">
        <v>74</v>
      </c>
      <c r="B45" s="21" t="s">
        <v>88</v>
      </c>
      <c r="C45" t="s">
        <v>94</v>
      </c>
      <c r="D45" t="str">
        <f t="shared" si="0"/>
        <v>2018113125242</v>
      </c>
      <c r="E45" s="4"/>
    </row>
    <row r="46" spans="1:5" x14ac:dyDescent="0.2">
      <c r="A46" s="21" t="s">
        <v>75</v>
      </c>
      <c r="B46" s="21" t="s">
        <v>89</v>
      </c>
      <c r="C46" t="s">
        <v>94</v>
      </c>
      <c r="D46" t="str">
        <f t="shared" si="0"/>
        <v>2018103113069</v>
      </c>
      <c r="E46" s="4"/>
    </row>
    <row r="47" spans="1:5" x14ac:dyDescent="0.2">
      <c r="A47" s="21" t="s">
        <v>71</v>
      </c>
      <c r="B47" s="21" t="s">
        <v>77</v>
      </c>
      <c r="C47" t="s">
        <v>100</v>
      </c>
      <c r="D47" t="str">
        <f t="shared" si="0"/>
        <v>2018123138150</v>
      </c>
      <c r="E47" s="4"/>
    </row>
    <row r="48" spans="1:5" x14ac:dyDescent="0.2">
      <c r="A48" s="21" t="s">
        <v>71</v>
      </c>
      <c r="B48" s="21" t="s">
        <v>81</v>
      </c>
      <c r="C48" t="s">
        <v>98</v>
      </c>
      <c r="D48" t="str">
        <f t="shared" si="0"/>
        <v>2018123139671</v>
      </c>
    </row>
    <row r="49" spans="1:4" x14ac:dyDescent="0.2">
      <c r="A49" s="21" t="s">
        <v>71</v>
      </c>
      <c r="B49" s="21" t="s">
        <v>79</v>
      </c>
      <c r="C49" t="s">
        <v>101</v>
      </c>
      <c r="D49" t="str">
        <f t="shared" si="0"/>
        <v>2018123139095</v>
      </c>
    </row>
    <row r="50" spans="1:4" x14ac:dyDescent="0.2">
      <c r="A50" s="20" t="s">
        <v>71</v>
      </c>
      <c r="B50" s="20" t="s">
        <v>80</v>
      </c>
      <c r="C50" t="s">
        <v>67</v>
      </c>
      <c r="D50" t="str">
        <f t="shared" si="0"/>
        <v>2018123139339</v>
      </c>
    </row>
    <row r="51" spans="1:4" x14ac:dyDescent="0.2">
      <c r="A51" s="20" t="s">
        <v>71</v>
      </c>
      <c r="B51" s="20" t="s">
        <v>78</v>
      </c>
      <c r="C51" t="s">
        <v>102</v>
      </c>
      <c r="D51" t="str">
        <f t="shared" si="0"/>
        <v>2018123141478</v>
      </c>
    </row>
    <row r="52" spans="1:4" x14ac:dyDescent="0.2">
      <c r="A52" s="20" t="s">
        <v>71</v>
      </c>
      <c r="B52" s="20" t="s">
        <v>76</v>
      </c>
      <c r="C52" t="s">
        <v>103</v>
      </c>
      <c r="D52" t="str">
        <f t="shared" si="0"/>
        <v>2018123141618</v>
      </c>
    </row>
    <row r="53" spans="1:4" x14ac:dyDescent="0.2">
      <c r="A53" s="21" t="s">
        <v>104</v>
      </c>
      <c r="B53" s="21" t="s">
        <v>112</v>
      </c>
      <c r="C53" t="s">
        <v>101</v>
      </c>
      <c r="D53" t="str">
        <f t="shared" si="0"/>
        <v>2019013000070</v>
      </c>
    </row>
    <row r="54" spans="1:4" x14ac:dyDescent="0.2">
      <c r="A54" s="21" t="s">
        <v>105</v>
      </c>
      <c r="B54" s="21" t="s">
        <v>114</v>
      </c>
      <c r="C54" t="s">
        <v>94</v>
      </c>
      <c r="D54" t="str">
        <f t="shared" si="0"/>
        <v>2019033031773</v>
      </c>
    </row>
    <row r="55" spans="1:4" x14ac:dyDescent="0.2">
      <c r="A55" s="21" t="s">
        <v>105</v>
      </c>
      <c r="B55" s="21" t="s">
        <v>113</v>
      </c>
      <c r="C55" t="s">
        <v>94</v>
      </c>
      <c r="D55" t="str">
        <f t="shared" si="0"/>
        <v>2019033034440</v>
      </c>
    </row>
    <row r="56" spans="1:4" x14ac:dyDescent="0.2">
      <c r="A56" s="21" t="s">
        <v>109</v>
      </c>
      <c r="B56" s="21" t="s">
        <v>123</v>
      </c>
      <c r="C56" t="s">
        <v>94</v>
      </c>
      <c r="D56" t="str">
        <f t="shared" si="0"/>
        <v>2019043041504</v>
      </c>
    </row>
    <row r="57" spans="1:4" x14ac:dyDescent="0.2">
      <c r="A57" s="21" t="s">
        <v>110</v>
      </c>
      <c r="B57" s="21" t="s">
        <v>124</v>
      </c>
      <c r="C57" t="s">
        <v>94</v>
      </c>
      <c r="D57" t="str">
        <f t="shared" si="0"/>
        <v>2019053054650</v>
      </c>
    </row>
    <row r="58" spans="1:4" x14ac:dyDescent="0.2">
      <c r="A58" s="21" t="s">
        <v>111</v>
      </c>
      <c r="B58" s="21" t="s">
        <v>129</v>
      </c>
      <c r="C58" t="s">
        <v>192</v>
      </c>
      <c r="D58" t="str">
        <f t="shared" si="0"/>
        <v>2019063069175</v>
      </c>
    </row>
    <row r="59" spans="1:4" x14ac:dyDescent="0.2">
      <c r="A59" s="21" t="s">
        <v>111</v>
      </c>
      <c r="B59" s="21" t="s">
        <v>125</v>
      </c>
      <c r="C59" t="s">
        <v>193</v>
      </c>
      <c r="D59" t="str">
        <f t="shared" si="0"/>
        <v>2019063069309</v>
      </c>
    </row>
    <row r="60" spans="1:4" x14ac:dyDescent="0.2">
      <c r="A60" s="21" t="s">
        <v>106</v>
      </c>
      <c r="B60" s="21" t="s">
        <v>126</v>
      </c>
      <c r="C60" t="s">
        <v>94</v>
      </c>
      <c r="D60" t="str">
        <f t="shared" si="0"/>
        <v>2019073084761</v>
      </c>
    </row>
    <row r="61" spans="1:4" x14ac:dyDescent="0.2">
      <c r="A61" s="21" t="s">
        <v>106</v>
      </c>
      <c r="B61" s="21" t="s">
        <v>128</v>
      </c>
      <c r="C61" t="s">
        <v>99</v>
      </c>
      <c r="D61" t="str">
        <f t="shared" si="0"/>
        <v>2019073096607</v>
      </c>
    </row>
    <row r="62" spans="1:4" x14ac:dyDescent="0.2">
      <c r="A62" s="21" t="s">
        <v>107</v>
      </c>
      <c r="B62" s="21" t="s">
        <v>117</v>
      </c>
      <c r="C62" t="s">
        <v>94</v>
      </c>
      <c r="D62" t="str">
        <f t="shared" si="0"/>
        <v>2019083101246</v>
      </c>
    </row>
    <row r="63" spans="1:4" x14ac:dyDescent="0.2">
      <c r="A63" s="21" t="s">
        <v>107</v>
      </c>
      <c r="B63" s="21" t="s">
        <v>116</v>
      </c>
      <c r="C63" t="s">
        <v>55</v>
      </c>
      <c r="D63" t="str">
        <f t="shared" si="0"/>
        <v>2019083103368</v>
      </c>
    </row>
    <row r="64" spans="1:4" x14ac:dyDescent="0.2">
      <c r="A64" s="21" t="s">
        <v>107</v>
      </c>
      <c r="B64" s="21" t="s">
        <v>118</v>
      </c>
      <c r="C64" t="s">
        <v>194</v>
      </c>
      <c r="D64" t="str">
        <f t="shared" si="0"/>
        <v>2019083112914</v>
      </c>
    </row>
    <row r="65" spans="1:4" x14ac:dyDescent="0.2">
      <c r="A65" s="21" t="s">
        <v>108</v>
      </c>
      <c r="B65" s="21" t="s">
        <v>120</v>
      </c>
      <c r="C65" t="s">
        <v>94</v>
      </c>
      <c r="D65" t="str">
        <f t="shared" si="0"/>
        <v>2019093115725</v>
      </c>
    </row>
    <row r="66" spans="1:4" x14ac:dyDescent="0.2">
      <c r="A66" s="21" t="s">
        <v>108</v>
      </c>
      <c r="B66" s="21" t="s">
        <v>121</v>
      </c>
      <c r="C66" t="s">
        <v>99</v>
      </c>
      <c r="D66" t="str">
        <f t="shared" si="0"/>
        <v>2019093116305</v>
      </c>
    </row>
    <row r="67" spans="1:4" x14ac:dyDescent="0.2">
      <c r="A67" s="21" t="s">
        <v>108</v>
      </c>
      <c r="B67" s="21" t="s">
        <v>115</v>
      </c>
      <c r="C67" t="s">
        <v>195</v>
      </c>
      <c r="D67" t="str">
        <f t="shared" ref="D67:D110" si="1">CONCATENATE(A67,B67)</f>
        <v>2019093117349</v>
      </c>
    </row>
    <row r="68" spans="1:4" x14ac:dyDescent="0.2">
      <c r="A68" s="21" t="s">
        <v>108</v>
      </c>
      <c r="B68" s="21" t="s">
        <v>131</v>
      </c>
      <c r="C68" t="s">
        <v>198</v>
      </c>
      <c r="D68" t="str">
        <f t="shared" si="1"/>
        <v>2019093118017</v>
      </c>
    </row>
    <row r="69" spans="1:4" x14ac:dyDescent="0.2">
      <c r="A69" s="21" t="s">
        <v>108</v>
      </c>
      <c r="B69" s="21" t="s">
        <v>119</v>
      </c>
      <c r="C69" t="s">
        <v>196</v>
      </c>
      <c r="D69" t="str">
        <f t="shared" si="1"/>
        <v>2019093119232</v>
      </c>
    </row>
    <row r="70" spans="1:4" x14ac:dyDescent="0.2">
      <c r="A70" s="21" t="s">
        <v>108</v>
      </c>
      <c r="B70" s="21" t="s">
        <v>122</v>
      </c>
      <c r="C70" t="s">
        <v>197</v>
      </c>
      <c r="D70" t="str">
        <f t="shared" si="1"/>
        <v>2019093118880</v>
      </c>
    </row>
    <row r="71" spans="1:4" x14ac:dyDescent="0.2">
      <c r="A71" s="21" t="s">
        <v>108</v>
      </c>
      <c r="B71" s="21" t="s">
        <v>130</v>
      </c>
      <c r="C71" t="s">
        <v>197</v>
      </c>
      <c r="D71" t="str">
        <f t="shared" si="1"/>
        <v>2019093118884</v>
      </c>
    </row>
    <row r="72" spans="1:4" x14ac:dyDescent="0.2">
      <c r="A72" s="21">
        <v>201909</v>
      </c>
      <c r="B72" s="21">
        <v>3129264</v>
      </c>
      <c r="C72" t="s">
        <v>263</v>
      </c>
      <c r="D72" t="str">
        <f t="shared" si="1"/>
        <v>2019093129264</v>
      </c>
    </row>
    <row r="73" spans="1:4" x14ac:dyDescent="0.2">
      <c r="A73" s="21">
        <v>201909</v>
      </c>
      <c r="B73" s="21">
        <v>3129870</v>
      </c>
      <c r="C73" t="s">
        <v>264</v>
      </c>
      <c r="D73" t="str">
        <f t="shared" si="1"/>
        <v>2019093129870</v>
      </c>
    </row>
    <row r="74" spans="1:4" x14ac:dyDescent="0.2">
      <c r="A74" s="21">
        <v>201909</v>
      </c>
      <c r="B74" s="21">
        <v>3129266</v>
      </c>
      <c r="C74" t="s">
        <v>265</v>
      </c>
      <c r="D74" t="str">
        <f t="shared" si="1"/>
        <v>2019093129266</v>
      </c>
    </row>
    <row r="75" spans="1:4" x14ac:dyDescent="0.2">
      <c r="A75" s="21">
        <v>201909</v>
      </c>
      <c r="B75" s="21">
        <v>3128728</v>
      </c>
      <c r="C75" t="s">
        <v>266</v>
      </c>
      <c r="D75" t="str">
        <f t="shared" si="1"/>
        <v>2019093128728</v>
      </c>
    </row>
    <row r="76" spans="1:4" x14ac:dyDescent="0.2">
      <c r="A76" s="21">
        <v>201909</v>
      </c>
      <c r="B76" s="21">
        <v>3128729</v>
      </c>
      <c r="C76" t="s">
        <v>267</v>
      </c>
      <c r="D76" t="str">
        <f t="shared" si="1"/>
        <v>2019093128729</v>
      </c>
    </row>
    <row r="77" spans="1:4" x14ac:dyDescent="0.2">
      <c r="A77" s="21">
        <v>201909</v>
      </c>
      <c r="B77" s="21">
        <v>3126475</v>
      </c>
      <c r="C77" t="s">
        <v>268</v>
      </c>
      <c r="D77" t="str">
        <f t="shared" si="1"/>
        <v>2019093126475</v>
      </c>
    </row>
    <row r="78" spans="1:4" x14ac:dyDescent="0.2">
      <c r="A78" s="21">
        <v>201910</v>
      </c>
      <c r="B78" s="21">
        <v>3130509</v>
      </c>
      <c r="C78" t="s">
        <v>269</v>
      </c>
      <c r="D78" t="str">
        <f t="shared" si="1"/>
        <v>2019103130509</v>
      </c>
    </row>
    <row r="79" spans="1:4" x14ac:dyDescent="0.2">
      <c r="A79" s="21" t="s">
        <v>288</v>
      </c>
      <c r="B79" s="21" t="s">
        <v>305</v>
      </c>
      <c r="C79" t="s">
        <v>348</v>
      </c>
      <c r="D79" t="str">
        <f t="shared" si="1"/>
        <v>2020073789317</v>
      </c>
    </row>
    <row r="80" spans="1:4" x14ac:dyDescent="0.2">
      <c r="A80" s="21" t="s">
        <v>288</v>
      </c>
      <c r="B80" s="21" t="s">
        <v>306</v>
      </c>
      <c r="C80" t="s">
        <v>347</v>
      </c>
      <c r="D80" t="str">
        <f t="shared" si="1"/>
        <v>2020073789318</v>
      </c>
    </row>
    <row r="81" spans="1:4" x14ac:dyDescent="0.2">
      <c r="A81" s="21" t="s">
        <v>288</v>
      </c>
      <c r="B81" s="21" t="s">
        <v>307</v>
      </c>
      <c r="C81" t="s">
        <v>346</v>
      </c>
      <c r="D81" t="str">
        <f t="shared" si="1"/>
        <v>2020073780157</v>
      </c>
    </row>
    <row r="82" spans="1:4" x14ac:dyDescent="0.2">
      <c r="A82" s="21" t="s">
        <v>288</v>
      </c>
      <c r="B82" s="21" t="s">
        <v>303</v>
      </c>
      <c r="C82" t="s">
        <v>345</v>
      </c>
      <c r="D82" t="str">
        <f t="shared" si="1"/>
        <v>2020073777609</v>
      </c>
    </row>
    <row r="83" spans="1:4" x14ac:dyDescent="0.2">
      <c r="A83" s="21" t="s">
        <v>288</v>
      </c>
      <c r="B83" s="21" t="s">
        <v>291</v>
      </c>
      <c r="C83" t="s">
        <v>344</v>
      </c>
      <c r="D83" t="str">
        <f t="shared" si="1"/>
        <v>2020073772860</v>
      </c>
    </row>
    <row r="84" spans="1:4" x14ac:dyDescent="0.2">
      <c r="A84" s="21" t="s">
        <v>288</v>
      </c>
      <c r="B84" s="21" t="s">
        <v>309</v>
      </c>
      <c r="C84" t="s">
        <v>343</v>
      </c>
      <c r="D84" t="str">
        <f t="shared" si="1"/>
        <v>2020073777010</v>
      </c>
    </row>
    <row r="85" spans="1:4" x14ac:dyDescent="0.2">
      <c r="A85" s="21" t="s">
        <v>288</v>
      </c>
      <c r="B85" s="21" t="s">
        <v>316</v>
      </c>
      <c r="C85" t="s">
        <v>342</v>
      </c>
      <c r="D85" t="str">
        <f t="shared" si="1"/>
        <v>2020073766528</v>
      </c>
    </row>
    <row r="86" spans="1:4" x14ac:dyDescent="0.2">
      <c r="A86" s="21" t="s">
        <v>288</v>
      </c>
      <c r="B86" s="21" t="s">
        <v>304</v>
      </c>
      <c r="C86" t="s">
        <v>327</v>
      </c>
      <c r="D86" t="str">
        <f t="shared" si="1"/>
        <v>2020073722313</v>
      </c>
    </row>
    <row r="87" spans="1:4" x14ac:dyDescent="0.2">
      <c r="A87" s="21" t="s">
        <v>288</v>
      </c>
      <c r="B87" s="21" t="s">
        <v>308</v>
      </c>
      <c r="C87" t="s">
        <v>328</v>
      </c>
      <c r="D87" t="str">
        <f t="shared" si="1"/>
        <v>2020073719766</v>
      </c>
    </row>
    <row r="88" spans="1:4" x14ac:dyDescent="0.2">
      <c r="A88" s="21" t="s">
        <v>288</v>
      </c>
      <c r="B88" s="21" t="s">
        <v>292</v>
      </c>
      <c r="C88" t="s">
        <v>329</v>
      </c>
      <c r="D88" t="str">
        <f t="shared" si="1"/>
        <v>2020073707531</v>
      </c>
    </row>
    <row r="89" spans="1:4" x14ac:dyDescent="0.2">
      <c r="A89" s="21" t="s">
        <v>289</v>
      </c>
      <c r="B89" s="21" t="s">
        <v>313</v>
      </c>
      <c r="C89" t="s">
        <v>267</v>
      </c>
      <c r="D89" t="str">
        <f t="shared" si="1"/>
        <v>2020063681248</v>
      </c>
    </row>
    <row r="90" spans="1:4" x14ac:dyDescent="0.2">
      <c r="A90" s="21" t="s">
        <v>289</v>
      </c>
      <c r="B90" s="21" t="s">
        <v>314</v>
      </c>
      <c r="C90" t="s">
        <v>330</v>
      </c>
      <c r="D90" t="str">
        <f t="shared" si="1"/>
        <v>2020063613343</v>
      </c>
    </row>
    <row r="91" spans="1:4" x14ac:dyDescent="0.2">
      <c r="A91" s="21" t="s">
        <v>285</v>
      </c>
      <c r="B91" s="21" t="s">
        <v>315</v>
      </c>
      <c r="C91" t="s">
        <v>99</v>
      </c>
      <c r="D91" t="str">
        <f t="shared" si="1"/>
        <v>2020053580215</v>
      </c>
    </row>
    <row r="92" spans="1:4" x14ac:dyDescent="0.2">
      <c r="A92" s="21" t="s">
        <v>285</v>
      </c>
      <c r="B92" s="21" t="s">
        <v>311</v>
      </c>
      <c r="C92" t="s">
        <v>331</v>
      </c>
      <c r="D92" t="str">
        <f t="shared" si="1"/>
        <v>2020053538512</v>
      </c>
    </row>
    <row r="93" spans="1:4" x14ac:dyDescent="0.2">
      <c r="A93" s="21" t="s">
        <v>284</v>
      </c>
      <c r="B93" s="21" t="s">
        <v>310</v>
      </c>
      <c r="C93" t="s">
        <v>332</v>
      </c>
      <c r="D93" t="str">
        <f t="shared" si="1"/>
        <v>2020043475643</v>
      </c>
    </row>
    <row r="94" spans="1:4" x14ac:dyDescent="0.2">
      <c r="A94" s="21" t="s">
        <v>284</v>
      </c>
      <c r="B94" s="21" t="s">
        <v>312</v>
      </c>
      <c r="C94" t="s">
        <v>333</v>
      </c>
      <c r="D94" t="str">
        <f t="shared" si="1"/>
        <v>2020043477357</v>
      </c>
    </row>
    <row r="95" spans="1:4" x14ac:dyDescent="0.2">
      <c r="A95" s="21" t="s">
        <v>283</v>
      </c>
      <c r="B95" s="21" t="s">
        <v>296</v>
      </c>
      <c r="C95" t="s">
        <v>334</v>
      </c>
      <c r="D95" t="str">
        <f t="shared" si="1"/>
        <v>2020033403978</v>
      </c>
    </row>
    <row r="96" spans="1:4" x14ac:dyDescent="0.2">
      <c r="A96" s="21" t="s">
        <v>290</v>
      </c>
      <c r="B96" s="21" t="s">
        <v>295</v>
      </c>
      <c r="C96" t="s">
        <v>335</v>
      </c>
      <c r="D96" t="str">
        <f t="shared" si="1"/>
        <v>2020023259972</v>
      </c>
    </row>
    <row r="97" spans="1:4" x14ac:dyDescent="0.2">
      <c r="A97" s="21" t="s">
        <v>282</v>
      </c>
      <c r="B97" s="21" t="s">
        <v>294</v>
      </c>
      <c r="C97" t="s">
        <v>336</v>
      </c>
      <c r="D97" t="str">
        <f t="shared" si="1"/>
        <v>2020013100540</v>
      </c>
    </row>
    <row r="98" spans="1:4" x14ac:dyDescent="0.2">
      <c r="A98" s="21" t="s">
        <v>282</v>
      </c>
      <c r="B98" s="21" t="s">
        <v>293</v>
      </c>
      <c r="C98" t="s">
        <v>337</v>
      </c>
      <c r="D98" t="str">
        <f t="shared" si="1"/>
        <v>2020013091048</v>
      </c>
    </row>
    <row r="99" spans="1:4" x14ac:dyDescent="0.2">
      <c r="A99" s="21" t="s">
        <v>282</v>
      </c>
      <c r="B99" s="21" t="s">
        <v>302</v>
      </c>
      <c r="C99" t="s">
        <v>56</v>
      </c>
      <c r="D99" t="str">
        <f t="shared" si="1"/>
        <v>2020013004376</v>
      </c>
    </row>
    <row r="100" spans="1:4" x14ac:dyDescent="0.2">
      <c r="A100" s="21" t="s">
        <v>287</v>
      </c>
      <c r="B100" s="21" t="s">
        <v>301</v>
      </c>
      <c r="C100" t="s">
        <v>338</v>
      </c>
      <c r="D100" t="str">
        <f t="shared" si="1"/>
        <v>2019123687994</v>
      </c>
    </row>
    <row r="101" spans="1:4" x14ac:dyDescent="0.2">
      <c r="A101" s="21" t="s">
        <v>287</v>
      </c>
      <c r="B101" s="21" t="s">
        <v>300</v>
      </c>
      <c r="C101" t="s">
        <v>339</v>
      </c>
      <c r="D101" t="str">
        <f t="shared" si="1"/>
        <v>2019123490190</v>
      </c>
    </row>
    <row r="102" spans="1:4" x14ac:dyDescent="0.2">
      <c r="A102" s="21" t="s">
        <v>286</v>
      </c>
      <c r="B102" s="21" t="s">
        <v>299</v>
      </c>
      <c r="C102" t="s">
        <v>340</v>
      </c>
      <c r="D102" t="str">
        <f t="shared" si="1"/>
        <v>2019113349221</v>
      </c>
    </row>
    <row r="103" spans="1:4" x14ac:dyDescent="0.2">
      <c r="A103" s="21" t="s">
        <v>286</v>
      </c>
      <c r="B103" s="21" t="s">
        <v>297</v>
      </c>
      <c r="C103" t="s">
        <v>341</v>
      </c>
      <c r="D103" t="str">
        <f t="shared" si="1"/>
        <v>2019113150051</v>
      </c>
    </row>
    <row r="104" spans="1:4" x14ac:dyDescent="0.2">
      <c r="A104" s="21" t="s">
        <v>288</v>
      </c>
      <c r="B104" s="21" t="s">
        <v>319</v>
      </c>
      <c r="C104" t="s">
        <v>350</v>
      </c>
      <c r="D104" t="str">
        <f t="shared" si="1"/>
        <v>2020073738565</v>
      </c>
    </row>
    <row r="105" spans="1:4" x14ac:dyDescent="0.2">
      <c r="A105" s="21" t="s">
        <v>289</v>
      </c>
      <c r="B105" s="21" t="s">
        <v>322</v>
      </c>
      <c r="C105" t="s">
        <v>349</v>
      </c>
      <c r="D105" t="str">
        <f t="shared" si="1"/>
        <v>2020063644924</v>
      </c>
    </row>
    <row r="106" spans="1:4" x14ac:dyDescent="0.2">
      <c r="A106" s="21" t="s">
        <v>289</v>
      </c>
      <c r="B106" s="21" t="s">
        <v>323</v>
      </c>
      <c r="C106" t="s">
        <v>350</v>
      </c>
      <c r="D106" t="str">
        <f t="shared" si="1"/>
        <v>2020063616056</v>
      </c>
    </row>
    <row r="107" spans="1:4" x14ac:dyDescent="0.2">
      <c r="A107" s="21" t="s">
        <v>289</v>
      </c>
      <c r="B107" s="21" t="s">
        <v>321</v>
      </c>
      <c r="C107" t="s">
        <v>351</v>
      </c>
      <c r="D107" t="str">
        <f t="shared" si="1"/>
        <v>2020063593090</v>
      </c>
    </row>
    <row r="108" spans="1:4" x14ac:dyDescent="0.2">
      <c r="A108" s="21" t="s">
        <v>285</v>
      </c>
      <c r="B108" s="21" t="s">
        <v>324</v>
      </c>
      <c r="C108" t="s">
        <v>351</v>
      </c>
      <c r="D108" t="str">
        <f t="shared" si="1"/>
        <v>2020053537201</v>
      </c>
    </row>
    <row r="109" spans="1:4" x14ac:dyDescent="0.2">
      <c r="A109" s="21" t="s">
        <v>283</v>
      </c>
      <c r="B109" s="21" t="s">
        <v>325</v>
      </c>
      <c r="C109" t="s">
        <v>350</v>
      </c>
      <c r="D109" t="str">
        <f t="shared" si="1"/>
        <v>2020033429148</v>
      </c>
    </row>
    <row r="110" spans="1:4" x14ac:dyDescent="0.2">
      <c r="A110" s="21" t="s">
        <v>298</v>
      </c>
      <c r="B110" s="21" t="s">
        <v>320</v>
      </c>
      <c r="C110" t="s">
        <v>350</v>
      </c>
      <c r="D110" t="str">
        <f t="shared" si="1"/>
        <v>2019103135177</v>
      </c>
    </row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06"/>
  <sheetViews>
    <sheetView workbookViewId="0">
      <selection activeCell="B106" sqref="B106"/>
    </sheetView>
  </sheetViews>
  <sheetFormatPr baseColWidth="10" defaultRowHeight="12.75" x14ac:dyDescent="0.2"/>
  <cols>
    <col min="1" max="1" width="41.42578125" customWidth="1"/>
    <col min="2" max="2" width="60.7109375" customWidth="1"/>
  </cols>
  <sheetData>
    <row r="1" spans="1:2" x14ac:dyDescent="0.2">
      <c r="A1" s="1" t="s">
        <v>132</v>
      </c>
      <c r="B1" s="1" t="s">
        <v>133</v>
      </c>
    </row>
    <row r="2" spans="1:2" x14ac:dyDescent="0.2">
      <c r="A2" t="s">
        <v>248</v>
      </c>
      <c r="B2" t="s">
        <v>181</v>
      </c>
    </row>
    <row r="3" spans="1:2" x14ac:dyDescent="0.2">
      <c r="A3" t="s">
        <v>241</v>
      </c>
      <c r="B3" s="4" t="s">
        <v>159</v>
      </c>
    </row>
    <row r="4" spans="1:2" x14ac:dyDescent="0.2">
      <c r="A4" t="s">
        <v>279</v>
      </c>
      <c r="B4" t="s">
        <v>191</v>
      </c>
    </row>
    <row r="5" spans="1:2" x14ac:dyDescent="0.2">
      <c r="A5" t="s">
        <v>134</v>
      </c>
      <c r="B5" t="s">
        <v>189</v>
      </c>
    </row>
    <row r="6" spans="1:2" x14ac:dyDescent="0.2">
      <c r="A6" t="s">
        <v>280</v>
      </c>
      <c r="B6" s="5" t="s">
        <v>152</v>
      </c>
    </row>
    <row r="7" spans="1:2" x14ac:dyDescent="0.2">
      <c r="A7" t="s">
        <v>136</v>
      </c>
      <c r="B7" t="s">
        <v>249</v>
      </c>
    </row>
    <row r="8" spans="1:2" x14ac:dyDescent="0.2">
      <c r="A8" t="s">
        <v>137</v>
      </c>
      <c r="B8" s="5" t="s">
        <v>150</v>
      </c>
    </row>
    <row r="9" spans="1:2" x14ac:dyDescent="0.2">
      <c r="A9" t="s">
        <v>135</v>
      </c>
      <c r="B9" t="s">
        <v>160</v>
      </c>
    </row>
    <row r="10" spans="1:2" x14ac:dyDescent="0.2">
      <c r="A10" t="s">
        <v>169</v>
      </c>
      <c r="B10" t="s">
        <v>173</v>
      </c>
    </row>
    <row r="11" spans="1:2" x14ac:dyDescent="0.2">
      <c r="A11" t="s">
        <v>270</v>
      </c>
      <c r="B11" t="s">
        <v>164</v>
      </c>
    </row>
    <row r="12" spans="1:2" x14ac:dyDescent="0.2">
      <c r="A12" t="s">
        <v>142</v>
      </c>
      <c r="B12" t="s">
        <v>187</v>
      </c>
    </row>
    <row r="13" spans="1:2" x14ac:dyDescent="0.2">
      <c r="A13" t="s">
        <v>143</v>
      </c>
      <c r="B13" t="s">
        <v>188</v>
      </c>
    </row>
    <row r="14" spans="1:2" x14ac:dyDescent="0.2">
      <c r="A14" t="s">
        <v>138</v>
      </c>
      <c r="B14" t="s">
        <v>251</v>
      </c>
    </row>
    <row r="15" spans="1:2" x14ac:dyDescent="0.2">
      <c r="A15" t="s">
        <v>139</v>
      </c>
      <c r="B15" t="s">
        <v>276</v>
      </c>
    </row>
    <row r="16" spans="1:2" x14ac:dyDescent="0.2">
      <c r="A16" t="s">
        <v>140</v>
      </c>
      <c r="B16" t="s">
        <v>177</v>
      </c>
    </row>
    <row r="17" spans="1:2" x14ac:dyDescent="0.2">
      <c r="A17" t="s">
        <v>141</v>
      </c>
      <c r="B17" s="5" t="s">
        <v>158</v>
      </c>
    </row>
    <row r="18" spans="1:2" x14ac:dyDescent="0.2">
      <c r="A18" t="s">
        <v>274</v>
      </c>
      <c r="B18" t="s">
        <v>278</v>
      </c>
    </row>
    <row r="19" spans="1:2" x14ac:dyDescent="0.2">
      <c r="A19" t="s">
        <v>170</v>
      </c>
      <c r="B19" t="s">
        <v>167</v>
      </c>
    </row>
    <row r="20" spans="1:2" x14ac:dyDescent="0.2">
      <c r="A20" t="s">
        <v>127</v>
      </c>
      <c r="B20" t="s">
        <v>185</v>
      </c>
    </row>
    <row r="21" spans="1:2" x14ac:dyDescent="0.2">
      <c r="A21" t="s">
        <v>161</v>
      </c>
      <c r="B21" t="s">
        <v>176</v>
      </c>
    </row>
    <row r="22" spans="1:2" x14ac:dyDescent="0.2">
      <c r="A22" t="s">
        <v>281</v>
      </c>
      <c r="B22" t="s">
        <v>190</v>
      </c>
    </row>
    <row r="23" spans="1:2" x14ac:dyDescent="0.2">
      <c r="A23" t="s">
        <v>154</v>
      </c>
      <c r="B23" s="5" t="s">
        <v>156</v>
      </c>
    </row>
    <row r="24" spans="1:2" x14ac:dyDescent="0.2">
      <c r="A24" t="s">
        <v>388</v>
      </c>
      <c r="B24" t="s">
        <v>165</v>
      </c>
    </row>
    <row r="25" spans="1:2" x14ac:dyDescent="0.2">
      <c r="B25" t="s">
        <v>172</v>
      </c>
    </row>
    <row r="26" spans="1:2" x14ac:dyDescent="0.2">
      <c r="B26" t="s">
        <v>174</v>
      </c>
    </row>
    <row r="27" spans="1:2" x14ac:dyDescent="0.2">
      <c r="B27" t="s">
        <v>174</v>
      </c>
    </row>
    <row r="28" spans="1:2" x14ac:dyDescent="0.2">
      <c r="B28" t="s">
        <v>184</v>
      </c>
    </row>
    <row r="29" spans="1:2" x14ac:dyDescent="0.2">
      <c r="B29" t="s">
        <v>247</v>
      </c>
    </row>
    <row r="30" spans="1:2" x14ac:dyDescent="0.2">
      <c r="B30" t="s">
        <v>162</v>
      </c>
    </row>
    <row r="31" spans="1:2" x14ac:dyDescent="0.2">
      <c r="B31" t="s">
        <v>277</v>
      </c>
    </row>
    <row r="32" spans="1:2" x14ac:dyDescent="0.2">
      <c r="B32" t="s">
        <v>183</v>
      </c>
    </row>
    <row r="33" spans="2:2" x14ac:dyDescent="0.2">
      <c r="B33" s="5" t="s">
        <v>153</v>
      </c>
    </row>
    <row r="34" spans="2:2" x14ac:dyDescent="0.2">
      <c r="B34" t="s">
        <v>166</v>
      </c>
    </row>
    <row r="35" spans="2:2" x14ac:dyDescent="0.2">
      <c r="B35" s="5" t="s">
        <v>155</v>
      </c>
    </row>
    <row r="36" spans="2:2" x14ac:dyDescent="0.2">
      <c r="B36" t="s">
        <v>186</v>
      </c>
    </row>
    <row r="37" spans="2:2" x14ac:dyDescent="0.2">
      <c r="B37" t="s">
        <v>182</v>
      </c>
    </row>
    <row r="38" spans="2:2" x14ac:dyDescent="0.2">
      <c r="B38" t="s">
        <v>250</v>
      </c>
    </row>
    <row r="39" spans="2:2" x14ac:dyDescent="0.2">
      <c r="B39" s="5" t="s">
        <v>148</v>
      </c>
    </row>
    <row r="40" spans="2:2" x14ac:dyDescent="0.2">
      <c r="B40" t="s">
        <v>146</v>
      </c>
    </row>
    <row r="41" spans="2:2" x14ac:dyDescent="0.2">
      <c r="B41" t="s">
        <v>219</v>
      </c>
    </row>
    <row r="42" spans="2:2" x14ac:dyDescent="0.2">
      <c r="B42" t="s">
        <v>252</v>
      </c>
    </row>
    <row r="43" spans="2:2" x14ac:dyDescent="0.2">
      <c r="B43" s="5" t="s">
        <v>157</v>
      </c>
    </row>
    <row r="44" spans="2:2" x14ac:dyDescent="0.2">
      <c r="B44" t="s">
        <v>168</v>
      </c>
    </row>
    <row r="45" spans="2:2" x14ac:dyDescent="0.2">
      <c r="B45" t="s">
        <v>178</v>
      </c>
    </row>
    <row r="46" spans="2:2" x14ac:dyDescent="0.2">
      <c r="B46" s="5" t="s">
        <v>145</v>
      </c>
    </row>
    <row r="47" spans="2:2" x14ac:dyDescent="0.2">
      <c r="B47" t="s">
        <v>171</v>
      </c>
    </row>
    <row r="48" spans="2:2" x14ac:dyDescent="0.2">
      <c r="B48" t="s">
        <v>175</v>
      </c>
    </row>
    <row r="49" spans="2:2" x14ac:dyDescent="0.2">
      <c r="B49" t="s">
        <v>163</v>
      </c>
    </row>
    <row r="50" spans="2:2" x14ac:dyDescent="0.2">
      <c r="B50" t="s">
        <v>275</v>
      </c>
    </row>
    <row r="51" spans="2:2" x14ac:dyDescent="0.2">
      <c r="B51" s="5" t="s">
        <v>147</v>
      </c>
    </row>
    <row r="52" spans="2:2" x14ac:dyDescent="0.2">
      <c r="B52" s="5" t="s">
        <v>149</v>
      </c>
    </row>
    <row r="53" spans="2:2" x14ac:dyDescent="0.2">
      <c r="B53" s="5" t="s">
        <v>151</v>
      </c>
    </row>
    <row r="54" spans="2:2" x14ac:dyDescent="0.2">
      <c r="B54" t="s">
        <v>244</v>
      </c>
    </row>
    <row r="55" spans="2:2" x14ac:dyDescent="0.2">
      <c r="B55" t="s">
        <v>180</v>
      </c>
    </row>
    <row r="56" spans="2:2" x14ac:dyDescent="0.2">
      <c r="B56" t="s">
        <v>352</v>
      </c>
    </row>
    <row r="57" spans="2:2" x14ac:dyDescent="0.2">
      <c r="B57" t="s">
        <v>353</v>
      </c>
    </row>
    <row r="58" spans="2:2" x14ac:dyDescent="0.2">
      <c r="B58" t="s">
        <v>354</v>
      </c>
    </row>
    <row r="59" spans="2:2" x14ac:dyDescent="0.2">
      <c r="B59" t="s">
        <v>355</v>
      </c>
    </row>
    <row r="60" spans="2:2" x14ac:dyDescent="0.2">
      <c r="B60" t="s">
        <v>356</v>
      </c>
    </row>
    <row r="61" spans="2:2" x14ac:dyDescent="0.2">
      <c r="B61" t="s">
        <v>357</v>
      </c>
    </row>
    <row r="62" spans="2:2" x14ac:dyDescent="0.2">
      <c r="B62" t="s">
        <v>358</v>
      </c>
    </row>
    <row r="63" spans="2:2" x14ac:dyDescent="0.2">
      <c r="B63" t="s">
        <v>359</v>
      </c>
    </row>
    <row r="64" spans="2:2" x14ac:dyDescent="0.2">
      <c r="B64" t="s">
        <v>360</v>
      </c>
    </row>
    <row r="65" spans="2:2" x14ac:dyDescent="0.2">
      <c r="B65" t="s">
        <v>361</v>
      </c>
    </row>
    <row r="66" spans="2:2" x14ac:dyDescent="0.2">
      <c r="B66" t="s">
        <v>362</v>
      </c>
    </row>
    <row r="67" spans="2:2" x14ac:dyDescent="0.2">
      <c r="B67" t="s">
        <v>363</v>
      </c>
    </row>
    <row r="68" spans="2:2" x14ac:dyDescent="0.2">
      <c r="B68" t="s">
        <v>364</v>
      </c>
    </row>
    <row r="69" spans="2:2" x14ac:dyDescent="0.2">
      <c r="B69" t="s">
        <v>365</v>
      </c>
    </row>
    <row r="70" spans="2:2" x14ac:dyDescent="0.2">
      <c r="B70" t="s">
        <v>366</v>
      </c>
    </row>
    <row r="71" spans="2:2" x14ac:dyDescent="0.2">
      <c r="B71" t="s">
        <v>367</v>
      </c>
    </row>
    <row r="72" spans="2:2" x14ac:dyDescent="0.2">
      <c r="B72" t="s">
        <v>368</v>
      </c>
    </row>
    <row r="73" spans="2:2" x14ac:dyDescent="0.2">
      <c r="B73" t="s">
        <v>369</v>
      </c>
    </row>
    <row r="74" spans="2:2" x14ac:dyDescent="0.2">
      <c r="B74" t="s">
        <v>370</v>
      </c>
    </row>
    <row r="75" spans="2:2" x14ac:dyDescent="0.2">
      <c r="B75" t="s">
        <v>371</v>
      </c>
    </row>
    <row r="76" spans="2:2" x14ac:dyDescent="0.2">
      <c r="B76" t="s">
        <v>372</v>
      </c>
    </row>
    <row r="77" spans="2:2" x14ac:dyDescent="0.2">
      <c r="B77" t="s">
        <v>372</v>
      </c>
    </row>
    <row r="78" spans="2:2" x14ac:dyDescent="0.2">
      <c r="B78" t="s">
        <v>373</v>
      </c>
    </row>
    <row r="79" spans="2:2" x14ac:dyDescent="0.2">
      <c r="B79" t="s">
        <v>374</v>
      </c>
    </row>
    <row r="80" spans="2:2" x14ac:dyDescent="0.2">
      <c r="B80" t="s">
        <v>375</v>
      </c>
    </row>
    <row r="81" spans="2:2" x14ac:dyDescent="0.2">
      <c r="B81" t="s">
        <v>376</v>
      </c>
    </row>
    <row r="82" spans="2:2" x14ac:dyDescent="0.2">
      <c r="B82" t="s">
        <v>318</v>
      </c>
    </row>
    <row r="83" spans="2:2" x14ac:dyDescent="0.2">
      <c r="B83" t="s">
        <v>377</v>
      </c>
    </row>
    <row r="84" spans="2:2" x14ac:dyDescent="0.2">
      <c r="B84" t="s">
        <v>378</v>
      </c>
    </row>
    <row r="85" spans="2:2" x14ac:dyDescent="0.2">
      <c r="B85" t="s">
        <v>379</v>
      </c>
    </row>
    <row r="86" spans="2:2" x14ac:dyDescent="0.2">
      <c r="B86" t="s">
        <v>380</v>
      </c>
    </row>
    <row r="87" spans="2:2" x14ac:dyDescent="0.2">
      <c r="B87" t="s">
        <v>381</v>
      </c>
    </row>
    <row r="88" spans="2:2" x14ac:dyDescent="0.2">
      <c r="B88" t="s">
        <v>382</v>
      </c>
    </row>
    <row r="89" spans="2:2" x14ac:dyDescent="0.2">
      <c r="B89" t="s">
        <v>383</v>
      </c>
    </row>
    <row r="90" spans="2:2" x14ac:dyDescent="0.2">
      <c r="B90" t="s">
        <v>384</v>
      </c>
    </row>
    <row r="91" spans="2:2" x14ac:dyDescent="0.2">
      <c r="B91" t="s">
        <v>385</v>
      </c>
    </row>
    <row r="92" spans="2:2" x14ac:dyDescent="0.2">
      <c r="B92" t="s">
        <v>386</v>
      </c>
    </row>
    <row r="93" spans="2:2" x14ac:dyDescent="0.2">
      <c r="B93" t="s">
        <v>387</v>
      </c>
    </row>
    <row r="94" spans="2:2" x14ac:dyDescent="0.2">
      <c r="B94" t="s">
        <v>389</v>
      </c>
    </row>
    <row r="95" spans="2:2" x14ac:dyDescent="0.2">
      <c r="B95" t="s">
        <v>390</v>
      </c>
    </row>
    <row r="96" spans="2:2" x14ac:dyDescent="0.2">
      <c r="B96" t="s">
        <v>391</v>
      </c>
    </row>
    <row r="97" spans="2:2" x14ac:dyDescent="0.2">
      <c r="B97" t="s">
        <v>392</v>
      </c>
    </row>
    <row r="98" spans="2:2" x14ac:dyDescent="0.2">
      <c r="B98" t="s">
        <v>393</v>
      </c>
    </row>
    <row r="99" spans="2:2" x14ac:dyDescent="0.2">
      <c r="B99" t="s">
        <v>394</v>
      </c>
    </row>
    <row r="100" spans="2:2" x14ac:dyDescent="0.2">
      <c r="B100" t="s">
        <v>395</v>
      </c>
    </row>
    <row r="101" spans="2:2" x14ac:dyDescent="0.2">
      <c r="B101" t="s">
        <v>396</v>
      </c>
    </row>
    <row r="102" spans="2:2" x14ac:dyDescent="0.2">
      <c r="B102" t="s">
        <v>397</v>
      </c>
    </row>
    <row r="103" spans="2:2" x14ac:dyDescent="0.2">
      <c r="B103" t="s">
        <v>398</v>
      </c>
    </row>
    <row r="104" spans="2:2" x14ac:dyDescent="0.2">
      <c r="B104" t="s">
        <v>399</v>
      </c>
    </row>
    <row r="105" spans="2:2" x14ac:dyDescent="0.2">
      <c r="B105" t="s">
        <v>179</v>
      </c>
    </row>
    <row r="106" spans="2:2" x14ac:dyDescent="0.2">
      <c r="B106" t="s">
        <v>400</v>
      </c>
    </row>
  </sheetData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E2"/>
  <sheetViews>
    <sheetView workbookViewId="0">
      <selection activeCell="D2" sqref="D2"/>
    </sheetView>
  </sheetViews>
  <sheetFormatPr baseColWidth="10" defaultRowHeight="12.75" x14ac:dyDescent="0.2"/>
  <cols>
    <col min="1" max="1" width="11.42578125" customWidth="1"/>
    <col min="2" max="2" width="13.85546875" customWidth="1"/>
    <col min="3" max="3" width="20.5703125" customWidth="1"/>
    <col min="4" max="4" width="52.7109375" customWidth="1"/>
    <col min="5" max="5" width="14" bestFit="1" customWidth="1"/>
  </cols>
  <sheetData>
    <row r="1" spans="1:5" x14ac:dyDescent="0.2">
      <c r="A1" s="19" t="s">
        <v>5</v>
      </c>
      <c r="B1" s="19" t="s">
        <v>6</v>
      </c>
      <c r="C1" s="1" t="s">
        <v>235</v>
      </c>
      <c r="D1" s="1" t="s">
        <v>261</v>
      </c>
      <c r="E1" s="1" t="s">
        <v>22</v>
      </c>
    </row>
    <row r="2" spans="1:5" x14ac:dyDescent="0.2">
      <c r="A2" s="20">
        <v>201909</v>
      </c>
      <c r="B2" s="20">
        <v>3129511</v>
      </c>
      <c r="C2" t="s">
        <v>236</v>
      </c>
      <c r="D2" t="s">
        <v>273</v>
      </c>
      <c r="E2" t="str">
        <f>CONCATENATE(A2,B2)</f>
        <v>2019093129511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/>
  <dimension ref="A1:C2"/>
  <sheetViews>
    <sheetView workbookViewId="0">
      <selection activeCell="C30" sqref="C30"/>
    </sheetView>
  </sheetViews>
  <sheetFormatPr baseColWidth="10" defaultRowHeight="12.75" x14ac:dyDescent="0.2"/>
  <cols>
    <col min="1" max="1" width="28.85546875" customWidth="1"/>
    <col min="2" max="2" width="20.5703125" customWidth="1"/>
    <col min="3" max="3" width="52.7109375" customWidth="1"/>
  </cols>
  <sheetData>
    <row r="1" spans="1:3" x14ac:dyDescent="0.2">
      <c r="A1" s="19" t="s">
        <v>262</v>
      </c>
      <c r="B1" s="1" t="s">
        <v>235</v>
      </c>
      <c r="C1" s="1" t="s">
        <v>261</v>
      </c>
    </row>
    <row r="2" spans="1:3" x14ac:dyDescent="0.2">
      <c r="A2" t="s">
        <v>271</v>
      </c>
      <c r="B2" t="s">
        <v>236</v>
      </c>
      <c r="C2" t="s">
        <v>272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/>
  <dimension ref="A1:B9"/>
  <sheetViews>
    <sheetView workbookViewId="0">
      <selection activeCell="G46" sqref="G46"/>
    </sheetView>
  </sheetViews>
  <sheetFormatPr baseColWidth="10" defaultRowHeight="12.75" x14ac:dyDescent="0.2"/>
  <cols>
    <col min="1" max="1" width="38.28515625" customWidth="1"/>
    <col min="2" max="2" width="19.85546875" customWidth="1"/>
  </cols>
  <sheetData>
    <row r="1" spans="1:2" x14ac:dyDescent="0.2">
      <c r="A1" t="s">
        <v>2</v>
      </c>
      <c r="B1" t="s">
        <v>260</v>
      </c>
    </row>
    <row r="2" spans="1:2" x14ac:dyDescent="0.2">
      <c r="A2" t="s">
        <v>238</v>
      </c>
      <c r="B2" t="s">
        <v>253</v>
      </c>
    </row>
    <row r="3" spans="1:2" x14ac:dyDescent="0.2">
      <c r="A3" t="s">
        <v>239</v>
      </c>
      <c r="B3" t="s">
        <v>254</v>
      </c>
    </row>
    <row r="4" spans="1:2" x14ac:dyDescent="0.2">
      <c r="A4" t="s">
        <v>240</v>
      </c>
      <c r="B4" t="s">
        <v>255</v>
      </c>
    </row>
    <row r="5" spans="1:2" x14ac:dyDescent="0.2">
      <c r="A5" t="s">
        <v>242</v>
      </c>
      <c r="B5" t="s">
        <v>256</v>
      </c>
    </row>
    <row r="6" spans="1:2" x14ac:dyDescent="0.2">
      <c r="A6" t="s">
        <v>243</v>
      </c>
      <c r="B6" t="s">
        <v>257</v>
      </c>
    </row>
    <row r="7" spans="1:2" x14ac:dyDescent="0.2">
      <c r="A7" t="s">
        <v>245</v>
      </c>
      <c r="B7" t="s">
        <v>258</v>
      </c>
    </row>
    <row r="8" spans="1:2" x14ac:dyDescent="0.2">
      <c r="A8" t="s">
        <v>246</v>
      </c>
      <c r="B8" t="s">
        <v>259</v>
      </c>
    </row>
    <row r="9" spans="1:2" x14ac:dyDescent="0.2">
      <c r="A9" t="s">
        <v>317</v>
      </c>
      <c r="B9" t="s">
        <v>326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3:D43"/>
  <sheetViews>
    <sheetView workbookViewId="0">
      <selection activeCell="B20" sqref="B20"/>
    </sheetView>
  </sheetViews>
  <sheetFormatPr baseColWidth="10" defaultRowHeight="12.75" x14ac:dyDescent="0.2"/>
  <cols>
    <col min="1" max="1" width="18.28515625" customWidth="1"/>
    <col min="2" max="2" width="15.7109375" style="15" customWidth="1"/>
    <col min="3" max="3" width="8.28515625" style="15" customWidth="1"/>
    <col min="4" max="4" width="8.7109375" style="15" customWidth="1"/>
  </cols>
  <sheetData>
    <row r="3" spans="1:4" x14ac:dyDescent="0.2">
      <c r="A3" s="13"/>
      <c r="B3" s="18" t="s">
        <v>231</v>
      </c>
      <c r="D3"/>
    </row>
    <row r="4" spans="1:4" hidden="1" x14ac:dyDescent="0.2">
      <c r="A4" s="10" t="s">
        <v>217</v>
      </c>
      <c r="B4" s="10" t="s">
        <v>144</v>
      </c>
      <c r="C4"/>
      <c r="D4"/>
    </row>
    <row r="5" spans="1:4" hidden="1" x14ac:dyDescent="0.2">
      <c r="A5" s="10" t="s">
        <v>217</v>
      </c>
      <c r="B5" s="15" t="s">
        <v>216</v>
      </c>
      <c r="C5"/>
      <c r="D5"/>
    </row>
    <row r="6" spans="1:4" x14ac:dyDescent="0.2">
      <c r="A6" s="11" t="s">
        <v>236</v>
      </c>
      <c r="B6" s="16">
        <v>2</v>
      </c>
      <c r="C6"/>
      <c r="D6"/>
    </row>
    <row r="7" spans="1:4" x14ac:dyDescent="0.2">
      <c r="A7" s="11" t="s">
        <v>237</v>
      </c>
      <c r="B7" s="16">
        <v>234</v>
      </c>
      <c r="C7"/>
      <c r="D7"/>
    </row>
    <row r="8" spans="1:4" x14ac:dyDescent="0.2">
      <c r="A8" s="11" t="s">
        <v>218</v>
      </c>
      <c r="B8" s="16">
        <v>236</v>
      </c>
      <c r="C8"/>
      <c r="D8"/>
    </row>
    <row r="9" spans="1:4" x14ac:dyDescent="0.2">
      <c r="B9"/>
      <c r="C9"/>
      <c r="D9"/>
    </row>
    <row r="10" spans="1:4" x14ac:dyDescent="0.2">
      <c r="B10"/>
      <c r="C10"/>
      <c r="D10"/>
    </row>
    <row r="11" spans="1:4" x14ac:dyDescent="0.2">
      <c r="B11"/>
      <c r="C11"/>
      <c r="D11"/>
    </row>
    <row r="12" spans="1:4" x14ac:dyDescent="0.2">
      <c r="B12"/>
      <c r="C12"/>
      <c r="D12"/>
    </row>
    <row r="13" spans="1:4" x14ac:dyDescent="0.2">
      <c r="B13"/>
      <c r="C13"/>
      <c r="D13"/>
    </row>
    <row r="14" spans="1:4" x14ac:dyDescent="0.2">
      <c r="B14"/>
      <c r="C14"/>
      <c r="D14"/>
    </row>
    <row r="15" spans="1:4" x14ac:dyDescent="0.2">
      <c r="B15"/>
      <c r="C15"/>
      <c r="D15"/>
    </row>
    <row r="16" spans="1:4" x14ac:dyDescent="0.2">
      <c r="B16"/>
      <c r="C16"/>
      <c r="D16"/>
    </row>
    <row r="17" spans="2:4" x14ac:dyDescent="0.2">
      <c r="B17"/>
      <c r="C17"/>
      <c r="D17"/>
    </row>
    <row r="18" spans="2:4" x14ac:dyDescent="0.2">
      <c r="B18"/>
      <c r="C18"/>
      <c r="D18"/>
    </row>
    <row r="19" spans="2:4" x14ac:dyDescent="0.2">
      <c r="B19"/>
      <c r="C19"/>
      <c r="D19"/>
    </row>
    <row r="20" spans="2:4" x14ac:dyDescent="0.2">
      <c r="B20"/>
      <c r="C20"/>
      <c r="D20"/>
    </row>
    <row r="21" spans="2:4" x14ac:dyDescent="0.2">
      <c r="B21"/>
      <c r="C21"/>
      <c r="D21"/>
    </row>
    <row r="22" spans="2:4" x14ac:dyDescent="0.2">
      <c r="B22"/>
      <c r="C22"/>
      <c r="D22"/>
    </row>
    <row r="23" spans="2:4" x14ac:dyDescent="0.2">
      <c r="B23"/>
      <c r="C23"/>
      <c r="D23"/>
    </row>
    <row r="24" spans="2:4" x14ac:dyDescent="0.2">
      <c r="B24"/>
      <c r="C24"/>
      <c r="D24"/>
    </row>
    <row r="25" spans="2:4" x14ac:dyDescent="0.2">
      <c r="B25"/>
      <c r="C25"/>
      <c r="D25"/>
    </row>
    <row r="26" spans="2:4" x14ac:dyDescent="0.2">
      <c r="B26"/>
      <c r="C26"/>
      <c r="D26"/>
    </row>
    <row r="27" spans="2:4" x14ac:dyDescent="0.2">
      <c r="B27"/>
      <c r="C27"/>
      <c r="D27"/>
    </row>
    <row r="28" spans="2:4" x14ac:dyDescent="0.2">
      <c r="B28"/>
      <c r="C28"/>
      <c r="D28"/>
    </row>
    <row r="29" spans="2:4" x14ac:dyDescent="0.2">
      <c r="B29"/>
      <c r="C29"/>
      <c r="D29"/>
    </row>
    <row r="30" spans="2:4" x14ac:dyDescent="0.2">
      <c r="B30"/>
      <c r="C30"/>
      <c r="D30"/>
    </row>
    <row r="31" spans="2:4" x14ac:dyDescent="0.2">
      <c r="B31"/>
      <c r="C31"/>
      <c r="D31"/>
    </row>
    <row r="32" spans="2:4" x14ac:dyDescent="0.2">
      <c r="B32"/>
      <c r="C32"/>
      <c r="D32"/>
    </row>
    <row r="33" spans="2:4" x14ac:dyDescent="0.2">
      <c r="B33"/>
      <c r="C33"/>
      <c r="D33"/>
    </row>
    <row r="34" spans="2:4" x14ac:dyDescent="0.2">
      <c r="B34"/>
      <c r="C34"/>
      <c r="D34"/>
    </row>
    <row r="35" spans="2:4" x14ac:dyDescent="0.2">
      <c r="B35"/>
      <c r="C35"/>
      <c r="D35"/>
    </row>
    <row r="36" spans="2:4" x14ac:dyDescent="0.2">
      <c r="B36"/>
      <c r="C36"/>
      <c r="D36"/>
    </row>
    <row r="37" spans="2:4" x14ac:dyDescent="0.2">
      <c r="B37"/>
      <c r="C37"/>
      <c r="D37"/>
    </row>
    <row r="38" spans="2:4" x14ac:dyDescent="0.2">
      <c r="B38"/>
      <c r="C38"/>
      <c r="D38"/>
    </row>
    <row r="39" spans="2:4" x14ac:dyDescent="0.2">
      <c r="B39"/>
      <c r="C39"/>
      <c r="D39"/>
    </row>
    <row r="40" spans="2:4" x14ac:dyDescent="0.2">
      <c r="B40"/>
      <c r="C40"/>
      <c r="D40"/>
    </row>
    <row r="41" spans="2:4" x14ac:dyDescent="0.2">
      <c r="B41"/>
      <c r="C41"/>
      <c r="D41"/>
    </row>
    <row r="42" spans="2:4" x14ac:dyDescent="0.2">
      <c r="B42"/>
      <c r="C42"/>
      <c r="D42"/>
    </row>
    <row r="43" spans="2:4" x14ac:dyDescent="0.2">
      <c r="B43"/>
      <c r="C43"/>
      <c r="D43"/>
    </row>
  </sheetData>
  <pageMargins left="0.7" right="0.7" top="0.75" bottom="0.75" header="0.3" footer="0.3"/>
  <pageSetup paperSize="9" orientation="portrait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2:F43"/>
  <sheetViews>
    <sheetView workbookViewId="0">
      <selection activeCell="C9" sqref="C9"/>
    </sheetView>
  </sheetViews>
  <sheetFormatPr baseColWidth="10" defaultRowHeight="12.75" x14ac:dyDescent="0.2"/>
  <cols>
    <col min="1" max="1" width="17.42578125" customWidth="1"/>
    <col min="2" max="2" width="7.140625" style="15" customWidth="1"/>
    <col min="3" max="3" width="18.5703125" style="22" customWidth="1"/>
    <col min="4" max="4" width="8.7109375" style="15" customWidth="1"/>
    <col min="5" max="5" width="17.28515625" customWidth="1"/>
  </cols>
  <sheetData>
    <row r="2" spans="1:6" x14ac:dyDescent="0.2">
      <c r="B2" s="34" t="s">
        <v>226</v>
      </c>
      <c r="C2" s="34"/>
      <c r="E2" s="29" t="s">
        <v>224</v>
      </c>
      <c r="F2">
        <v>3.37</v>
      </c>
    </row>
    <row r="3" spans="1:6" ht="25.5" x14ac:dyDescent="0.2">
      <c r="A3" s="27" t="s">
        <v>228</v>
      </c>
      <c r="B3" s="27" t="s">
        <v>227</v>
      </c>
      <c r="C3" s="28" t="s">
        <v>230</v>
      </c>
      <c r="D3"/>
    </row>
    <row r="4" spans="1:6" hidden="1" x14ac:dyDescent="0.2">
      <c r="B4" s="10" t="s">
        <v>144</v>
      </c>
      <c r="D4"/>
    </row>
    <row r="5" spans="1:6" hidden="1" x14ac:dyDescent="0.2">
      <c r="B5" s="15" t="s">
        <v>216</v>
      </c>
      <c r="C5" s="15"/>
      <c r="D5"/>
    </row>
    <row r="6" spans="1:6" hidden="1" x14ac:dyDescent="0.2">
      <c r="A6" s="10" t="s">
        <v>217</v>
      </c>
      <c r="B6" t="s">
        <v>217</v>
      </c>
      <c r="C6" s="22" t="s">
        <v>225</v>
      </c>
      <c r="D6"/>
    </row>
    <row r="7" spans="1:6" x14ac:dyDescent="0.2">
      <c r="A7" s="11">
        <v>2017</v>
      </c>
      <c r="B7" s="16"/>
      <c r="C7" s="24"/>
      <c r="D7"/>
    </row>
    <row r="8" spans="1:6" x14ac:dyDescent="0.2">
      <c r="A8" s="12" t="s">
        <v>204</v>
      </c>
      <c r="B8" s="16">
        <v>1</v>
      </c>
      <c r="C8" s="24">
        <v>7686.02</v>
      </c>
      <c r="D8"/>
    </row>
    <row r="9" spans="1:6" x14ac:dyDescent="0.2">
      <c r="A9" s="12" t="s">
        <v>208</v>
      </c>
      <c r="B9" s="16">
        <v>2</v>
      </c>
      <c r="C9" s="24">
        <v>832.31000000000006</v>
      </c>
      <c r="D9"/>
    </row>
    <row r="10" spans="1:6" x14ac:dyDescent="0.2">
      <c r="A10" s="12" t="s">
        <v>209</v>
      </c>
      <c r="B10" s="16">
        <v>4</v>
      </c>
      <c r="C10" s="24">
        <v>4121.8</v>
      </c>
      <c r="D10"/>
    </row>
    <row r="11" spans="1:6" x14ac:dyDescent="0.2">
      <c r="A11" s="12" t="s">
        <v>211</v>
      </c>
      <c r="B11" s="16">
        <v>3</v>
      </c>
      <c r="C11" s="24">
        <v>1220</v>
      </c>
      <c r="D11"/>
    </row>
    <row r="12" spans="1:6" x14ac:dyDescent="0.2">
      <c r="A12" s="12" t="s">
        <v>210</v>
      </c>
      <c r="B12" s="16">
        <v>4</v>
      </c>
      <c r="C12" s="24">
        <v>303.59949999999998</v>
      </c>
      <c r="D12"/>
    </row>
    <row r="13" spans="1:6" x14ac:dyDescent="0.2">
      <c r="A13" s="12" t="s">
        <v>207</v>
      </c>
      <c r="B13" s="16">
        <v>1</v>
      </c>
      <c r="C13" s="24">
        <v>102</v>
      </c>
      <c r="D13"/>
    </row>
    <row r="14" spans="1:6" x14ac:dyDescent="0.2">
      <c r="A14" s="12" t="s">
        <v>212</v>
      </c>
      <c r="B14" s="16">
        <v>2</v>
      </c>
      <c r="C14" s="24">
        <v>16272.99</v>
      </c>
      <c r="D14"/>
    </row>
    <row r="15" spans="1:6" x14ac:dyDescent="0.2">
      <c r="A15" s="12" t="s">
        <v>206</v>
      </c>
      <c r="B15" s="16">
        <v>1</v>
      </c>
      <c r="C15" s="24">
        <v>350</v>
      </c>
      <c r="D15"/>
    </row>
    <row r="16" spans="1:6" x14ac:dyDescent="0.2">
      <c r="A16" s="12" t="s">
        <v>205</v>
      </c>
      <c r="B16" s="16">
        <v>2</v>
      </c>
      <c r="C16" s="24">
        <v>460</v>
      </c>
      <c r="D16"/>
    </row>
    <row r="17" spans="1:4" x14ac:dyDescent="0.2">
      <c r="A17" s="11">
        <v>2018</v>
      </c>
      <c r="B17" s="16"/>
      <c r="C17" s="24"/>
      <c r="D17"/>
    </row>
    <row r="18" spans="1:4" x14ac:dyDescent="0.2">
      <c r="A18" s="12" t="s">
        <v>213</v>
      </c>
      <c r="B18" s="16">
        <v>3</v>
      </c>
      <c r="C18" s="24">
        <v>11980</v>
      </c>
      <c r="D18"/>
    </row>
    <row r="19" spans="1:4" x14ac:dyDescent="0.2">
      <c r="A19" s="12" t="s">
        <v>209</v>
      </c>
      <c r="B19" s="16">
        <v>3</v>
      </c>
      <c r="C19" s="24">
        <v>3609.8</v>
      </c>
      <c r="D19"/>
    </row>
    <row r="20" spans="1:4" x14ac:dyDescent="0.2">
      <c r="A20" s="12" t="s">
        <v>215</v>
      </c>
      <c r="B20" s="16">
        <v>5</v>
      </c>
      <c r="C20" s="24">
        <v>1311.4807000000001</v>
      </c>
      <c r="D20"/>
    </row>
    <row r="21" spans="1:4" x14ac:dyDescent="0.2">
      <c r="A21" s="12" t="s">
        <v>211</v>
      </c>
      <c r="B21" s="16">
        <v>1</v>
      </c>
      <c r="C21" s="24">
        <v>600</v>
      </c>
      <c r="D21"/>
    </row>
    <row r="22" spans="1:4" x14ac:dyDescent="0.2">
      <c r="A22" s="12" t="s">
        <v>210</v>
      </c>
      <c r="B22" s="16">
        <v>4</v>
      </c>
      <c r="C22" s="24">
        <v>996.85</v>
      </c>
      <c r="D22"/>
    </row>
    <row r="23" spans="1:4" x14ac:dyDescent="0.2">
      <c r="A23" s="12" t="s">
        <v>207</v>
      </c>
      <c r="B23" s="16">
        <v>2</v>
      </c>
      <c r="C23" s="24">
        <v>15365.24</v>
      </c>
      <c r="D23"/>
    </row>
    <row r="24" spans="1:4" x14ac:dyDescent="0.2">
      <c r="A24" s="12" t="s">
        <v>214</v>
      </c>
      <c r="B24" s="16">
        <v>1</v>
      </c>
      <c r="C24" s="24">
        <v>212.98400000000001</v>
      </c>
      <c r="D24"/>
    </row>
    <row r="25" spans="1:4" x14ac:dyDescent="0.2">
      <c r="A25" s="12" t="s">
        <v>212</v>
      </c>
      <c r="B25" s="16">
        <v>8</v>
      </c>
      <c r="C25" s="24">
        <v>25955.868200000001</v>
      </c>
      <c r="D25"/>
    </row>
    <row r="26" spans="1:4" x14ac:dyDescent="0.2">
      <c r="A26" s="12" t="s">
        <v>206</v>
      </c>
      <c r="B26" s="16">
        <v>4</v>
      </c>
      <c r="C26" s="24">
        <v>23844.65</v>
      </c>
      <c r="D26"/>
    </row>
    <row r="27" spans="1:4" x14ac:dyDescent="0.2">
      <c r="A27" s="12" t="s">
        <v>205</v>
      </c>
      <c r="B27" s="16">
        <v>10</v>
      </c>
      <c r="C27" s="24">
        <v>20133.406400000003</v>
      </c>
      <c r="D27"/>
    </row>
    <row r="28" spans="1:4" x14ac:dyDescent="0.2">
      <c r="A28" s="11">
        <v>2019</v>
      </c>
      <c r="B28" s="16"/>
      <c r="C28" s="24"/>
      <c r="D28"/>
    </row>
    <row r="29" spans="1:4" x14ac:dyDescent="0.2">
      <c r="A29" s="12" t="s">
        <v>204</v>
      </c>
      <c r="B29" s="16">
        <v>9</v>
      </c>
      <c r="C29" s="24">
        <v>14764.32</v>
      </c>
      <c r="D29"/>
    </row>
    <row r="30" spans="1:4" x14ac:dyDescent="0.2">
      <c r="A30" s="12" t="s">
        <v>213</v>
      </c>
      <c r="B30" s="16">
        <v>7</v>
      </c>
      <c r="C30" s="24">
        <v>69899.11</v>
      </c>
      <c r="D30"/>
    </row>
    <row r="31" spans="1:4" x14ac:dyDescent="0.2">
      <c r="A31" s="12" t="s">
        <v>208</v>
      </c>
      <c r="B31" s="16">
        <v>14</v>
      </c>
      <c r="C31" s="24">
        <v>3984.6710999999996</v>
      </c>
      <c r="D31"/>
    </row>
    <row r="32" spans="1:4" x14ac:dyDescent="0.2">
      <c r="A32" s="12" t="s">
        <v>209</v>
      </c>
      <c r="B32" s="16">
        <v>16</v>
      </c>
      <c r="C32" s="24">
        <v>18151.962299999999</v>
      </c>
      <c r="D32"/>
    </row>
    <row r="33" spans="1:4" x14ac:dyDescent="0.2">
      <c r="A33" s="12" t="s">
        <v>215</v>
      </c>
      <c r="B33" s="16">
        <v>10</v>
      </c>
      <c r="C33" s="24">
        <v>10679.95</v>
      </c>
      <c r="D33"/>
    </row>
    <row r="34" spans="1:4" x14ac:dyDescent="0.2">
      <c r="A34" s="12" t="s">
        <v>211</v>
      </c>
      <c r="B34" s="16">
        <v>18</v>
      </c>
      <c r="C34" s="24">
        <v>30867.649999999998</v>
      </c>
      <c r="D34"/>
    </row>
    <row r="35" spans="1:4" x14ac:dyDescent="0.2">
      <c r="A35" s="12" t="s">
        <v>210</v>
      </c>
      <c r="B35" s="16">
        <v>12</v>
      </c>
      <c r="C35" s="24">
        <v>25138.313999999998</v>
      </c>
      <c r="D35"/>
    </row>
    <row r="36" spans="1:4" x14ac:dyDescent="0.2">
      <c r="A36" s="12" t="s">
        <v>207</v>
      </c>
      <c r="B36" s="16">
        <v>27</v>
      </c>
      <c r="C36" s="24">
        <v>70727.193600000013</v>
      </c>
      <c r="D36"/>
    </row>
    <row r="37" spans="1:4" x14ac:dyDescent="0.2">
      <c r="A37" s="12" t="s">
        <v>214</v>
      </c>
      <c r="B37" s="16">
        <v>62</v>
      </c>
      <c r="C37" s="24">
        <v>411655.72969999997</v>
      </c>
      <c r="D37"/>
    </row>
    <row r="38" spans="1:4" x14ac:dyDescent="0.2">
      <c r="A38" s="11" t="s">
        <v>218</v>
      </c>
      <c r="B38" s="16">
        <v>236</v>
      </c>
      <c r="C38" s="24">
        <v>791227.89949999982</v>
      </c>
      <c r="D38"/>
    </row>
    <row r="39" spans="1:4" x14ac:dyDescent="0.2">
      <c r="B39"/>
      <c r="C39"/>
      <c r="D39"/>
    </row>
    <row r="40" spans="1:4" x14ac:dyDescent="0.2">
      <c r="B40"/>
      <c r="C40"/>
      <c r="D40"/>
    </row>
    <row r="41" spans="1:4" x14ac:dyDescent="0.2">
      <c r="B41"/>
      <c r="C41"/>
      <c r="D41"/>
    </row>
    <row r="42" spans="1:4" x14ac:dyDescent="0.2">
      <c r="B42"/>
      <c r="D42"/>
    </row>
    <row r="43" spans="1:4" x14ac:dyDescent="0.2">
      <c r="B43"/>
      <c r="D43"/>
    </row>
  </sheetData>
  <mergeCells count="1">
    <mergeCell ref="B2:C2"/>
  </mergeCells>
  <pageMargins left="0.7" right="0.7" top="0.75" bottom="0.75" header="0.3" footer="0.3"/>
  <pageSetup paperSize="9" orientation="portrait" verticalDpi="30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3:D45"/>
  <sheetViews>
    <sheetView topLeftCell="A23" workbookViewId="0">
      <selection activeCell="D42" sqref="D42"/>
    </sheetView>
  </sheetViews>
  <sheetFormatPr baseColWidth="10" defaultRowHeight="12.75" x14ac:dyDescent="0.2"/>
  <cols>
    <col min="1" max="1" width="18.28515625" customWidth="1"/>
    <col min="2" max="2" width="7.7109375" style="15" customWidth="1"/>
    <col min="3" max="3" width="8.28515625" style="15" customWidth="1"/>
    <col min="4" max="4" width="8.7109375" style="15" customWidth="1"/>
  </cols>
  <sheetData>
    <row r="3" spans="1:4" x14ac:dyDescent="0.2">
      <c r="A3" s="13"/>
      <c r="B3" s="35" t="s">
        <v>231</v>
      </c>
      <c r="C3" s="35"/>
      <c r="D3" s="14"/>
    </row>
    <row r="4" spans="1:4" hidden="1" x14ac:dyDescent="0.2">
      <c r="A4" s="10" t="s">
        <v>217</v>
      </c>
      <c r="B4" s="10" t="s">
        <v>144</v>
      </c>
      <c r="C4"/>
      <c r="D4"/>
    </row>
    <row r="5" spans="1:4" x14ac:dyDescent="0.2">
      <c r="A5" s="10" t="s">
        <v>217</v>
      </c>
      <c r="B5" s="15" t="s">
        <v>232</v>
      </c>
      <c r="C5" s="15" t="s">
        <v>233</v>
      </c>
      <c r="D5" s="15" t="s">
        <v>234</v>
      </c>
    </row>
    <row r="6" spans="1:4" x14ac:dyDescent="0.2">
      <c r="A6" s="11">
        <v>2017</v>
      </c>
      <c r="B6" s="16"/>
      <c r="C6" s="16"/>
      <c r="D6" s="16"/>
    </row>
    <row r="7" spans="1:4" x14ac:dyDescent="0.2">
      <c r="A7" s="12" t="s">
        <v>204</v>
      </c>
      <c r="B7" s="16">
        <v>1</v>
      </c>
      <c r="C7" s="16">
        <v>11</v>
      </c>
      <c r="D7" s="16">
        <v>12</v>
      </c>
    </row>
    <row r="8" spans="1:4" x14ac:dyDescent="0.2">
      <c r="A8" s="12" t="s">
        <v>213</v>
      </c>
      <c r="B8" s="16">
        <v>0</v>
      </c>
      <c r="C8" s="16">
        <v>20</v>
      </c>
      <c r="D8" s="16">
        <v>20</v>
      </c>
    </row>
    <row r="9" spans="1:4" x14ac:dyDescent="0.2">
      <c r="A9" s="12" t="s">
        <v>208</v>
      </c>
      <c r="B9" s="16">
        <v>2</v>
      </c>
      <c r="C9" s="16">
        <v>24</v>
      </c>
      <c r="D9" s="16">
        <v>26</v>
      </c>
    </row>
    <row r="10" spans="1:4" x14ac:dyDescent="0.2">
      <c r="A10" s="12" t="s">
        <v>209</v>
      </c>
      <c r="B10" s="16">
        <v>4</v>
      </c>
      <c r="C10" s="16">
        <v>14</v>
      </c>
      <c r="D10" s="16">
        <v>18</v>
      </c>
    </row>
    <row r="11" spans="1:4" x14ac:dyDescent="0.2">
      <c r="A11" s="12" t="s">
        <v>215</v>
      </c>
      <c r="B11" s="16">
        <v>0</v>
      </c>
      <c r="C11" s="16">
        <v>22</v>
      </c>
      <c r="D11" s="16">
        <v>22</v>
      </c>
    </row>
    <row r="12" spans="1:4" x14ac:dyDescent="0.2">
      <c r="A12" s="12" t="s">
        <v>211</v>
      </c>
      <c r="B12" s="16">
        <v>3</v>
      </c>
      <c r="C12" s="16">
        <v>9</v>
      </c>
      <c r="D12" s="16">
        <v>12</v>
      </c>
    </row>
    <row r="13" spans="1:4" x14ac:dyDescent="0.2">
      <c r="A13" s="12" t="s">
        <v>210</v>
      </c>
      <c r="B13" s="16">
        <v>4</v>
      </c>
      <c r="C13" s="16">
        <v>12</v>
      </c>
      <c r="D13" s="16">
        <v>16</v>
      </c>
    </row>
    <row r="14" spans="1:4" x14ac:dyDescent="0.2">
      <c r="A14" s="12" t="s">
        <v>207</v>
      </c>
      <c r="B14" s="16">
        <v>1</v>
      </c>
      <c r="C14" s="16">
        <v>21</v>
      </c>
      <c r="D14" s="16">
        <v>22</v>
      </c>
    </row>
    <row r="15" spans="1:4" x14ac:dyDescent="0.2">
      <c r="A15" s="12" t="s">
        <v>214</v>
      </c>
      <c r="B15" s="16">
        <v>0</v>
      </c>
      <c r="C15" s="16">
        <v>34</v>
      </c>
      <c r="D15" s="16">
        <v>34</v>
      </c>
    </row>
    <row r="16" spans="1:4" x14ac:dyDescent="0.2">
      <c r="A16" s="12" t="s">
        <v>212</v>
      </c>
      <c r="B16" s="16">
        <v>2</v>
      </c>
      <c r="C16" s="16">
        <v>24</v>
      </c>
      <c r="D16" s="16">
        <v>26</v>
      </c>
    </row>
    <row r="17" spans="1:4" x14ac:dyDescent="0.2">
      <c r="A17" s="12" t="s">
        <v>206</v>
      </c>
      <c r="B17" s="16">
        <v>1</v>
      </c>
      <c r="C17" s="16">
        <v>23</v>
      </c>
      <c r="D17" s="16">
        <v>24</v>
      </c>
    </row>
    <row r="18" spans="1:4" x14ac:dyDescent="0.2">
      <c r="A18" s="12" t="s">
        <v>205</v>
      </c>
      <c r="B18" s="16">
        <v>2</v>
      </c>
      <c r="C18" s="16">
        <v>34</v>
      </c>
      <c r="D18" s="16">
        <v>36</v>
      </c>
    </row>
    <row r="19" spans="1:4" x14ac:dyDescent="0.2">
      <c r="A19" s="11">
        <v>2018</v>
      </c>
      <c r="B19" s="16"/>
      <c r="C19" s="16"/>
      <c r="D19" s="16"/>
    </row>
    <row r="20" spans="1:4" x14ac:dyDescent="0.2">
      <c r="A20" s="12" t="s">
        <v>204</v>
      </c>
      <c r="B20" s="16">
        <v>0</v>
      </c>
      <c r="C20" s="16">
        <v>24</v>
      </c>
      <c r="D20" s="16">
        <v>24</v>
      </c>
    </row>
    <row r="21" spans="1:4" x14ac:dyDescent="0.2">
      <c r="A21" s="12" t="s">
        <v>213</v>
      </c>
      <c r="B21" s="16">
        <v>3</v>
      </c>
      <c r="C21" s="16">
        <v>33</v>
      </c>
      <c r="D21" s="16">
        <v>36</v>
      </c>
    </row>
    <row r="22" spans="1:4" x14ac:dyDescent="0.2">
      <c r="A22" s="12" t="s">
        <v>208</v>
      </c>
      <c r="B22" s="16">
        <v>0</v>
      </c>
      <c r="C22" s="16">
        <v>11</v>
      </c>
      <c r="D22" s="16">
        <v>11</v>
      </c>
    </row>
    <row r="23" spans="1:4" x14ac:dyDescent="0.2">
      <c r="A23" s="12" t="s">
        <v>209</v>
      </c>
      <c r="B23" s="16">
        <v>3</v>
      </c>
      <c r="C23" s="16">
        <v>26</v>
      </c>
      <c r="D23" s="16">
        <v>29</v>
      </c>
    </row>
    <row r="24" spans="1:4" x14ac:dyDescent="0.2">
      <c r="A24" s="12" t="s">
        <v>215</v>
      </c>
      <c r="B24" s="16">
        <v>5</v>
      </c>
      <c r="C24" s="16">
        <v>27</v>
      </c>
      <c r="D24" s="16">
        <v>32</v>
      </c>
    </row>
    <row r="25" spans="1:4" x14ac:dyDescent="0.2">
      <c r="A25" s="12" t="s">
        <v>211</v>
      </c>
      <c r="B25" s="16">
        <v>1</v>
      </c>
      <c r="C25" s="16">
        <v>19</v>
      </c>
      <c r="D25" s="16">
        <v>20</v>
      </c>
    </row>
    <row r="26" spans="1:4" x14ac:dyDescent="0.2">
      <c r="A26" s="12" t="s">
        <v>210</v>
      </c>
      <c r="B26" s="16">
        <v>4</v>
      </c>
      <c r="C26" s="16">
        <v>24</v>
      </c>
      <c r="D26" s="16">
        <v>28</v>
      </c>
    </row>
    <row r="27" spans="1:4" x14ac:dyDescent="0.2">
      <c r="A27" s="12" t="s">
        <v>207</v>
      </c>
      <c r="B27" s="16">
        <v>2</v>
      </c>
      <c r="C27" s="16">
        <v>20</v>
      </c>
      <c r="D27" s="16">
        <v>22</v>
      </c>
    </row>
    <row r="28" spans="1:4" x14ac:dyDescent="0.2">
      <c r="A28" s="12" t="s">
        <v>214</v>
      </c>
      <c r="B28" s="16">
        <v>1</v>
      </c>
      <c r="C28" s="16">
        <v>15</v>
      </c>
      <c r="D28" s="16">
        <v>16</v>
      </c>
    </row>
    <row r="29" spans="1:4" x14ac:dyDescent="0.2">
      <c r="A29" s="12" t="s">
        <v>212</v>
      </c>
      <c r="B29" s="16">
        <v>8</v>
      </c>
      <c r="C29" s="16">
        <v>18</v>
      </c>
      <c r="D29" s="16">
        <v>26</v>
      </c>
    </row>
    <row r="30" spans="1:4" x14ac:dyDescent="0.2">
      <c r="A30" s="12" t="s">
        <v>206</v>
      </c>
      <c r="B30" s="16">
        <v>4</v>
      </c>
      <c r="C30" s="16">
        <v>10</v>
      </c>
      <c r="D30" s="16">
        <v>14</v>
      </c>
    </row>
    <row r="31" spans="1:4" x14ac:dyDescent="0.2">
      <c r="A31" s="12" t="s">
        <v>205</v>
      </c>
      <c r="B31" s="16">
        <v>10</v>
      </c>
      <c r="C31" s="16">
        <v>38</v>
      </c>
      <c r="D31" s="16">
        <v>48</v>
      </c>
    </row>
    <row r="32" spans="1:4" x14ac:dyDescent="0.2">
      <c r="A32" s="11">
        <v>2019</v>
      </c>
      <c r="B32" s="16"/>
      <c r="C32" s="16"/>
      <c r="D32" s="16"/>
    </row>
    <row r="33" spans="1:4" x14ac:dyDescent="0.2">
      <c r="A33" s="12" t="s">
        <v>204</v>
      </c>
      <c r="B33" s="16">
        <v>9</v>
      </c>
      <c r="C33" s="16">
        <v>31</v>
      </c>
      <c r="D33" s="16">
        <v>40</v>
      </c>
    </row>
    <row r="34" spans="1:4" x14ac:dyDescent="0.2">
      <c r="A34" s="12" t="s">
        <v>213</v>
      </c>
      <c r="B34" s="16">
        <v>7</v>
      </c>
      <c r="C34" s="16">
        <v>35</v>
      </c>
      <c r="D34" s="16">
        <v>42</v>
      </c>
    </row>
    <row r="35" spans="1:4" x14ac:dyDescent="0.2">
      <c r="A35" s="12" t="s">
        <v>208</v>
      </c>
      <c r="B35" s="16">
        <v>14</v>
      </c>
      <c r="C35" s="16">
        <v>46</v>
      </c>
      <c r="D35" s="16">
        <v>60</v>
      </c>
    </row>
    <row r="36" spans="1:4" x14ac:dyDescent="0.2">
      <c r="A36" s="12" t="s">
        <v>209</v>
      </c>
      <c r="B36" s="16">
        <v>16</v>
      </c>
      <c r="C36" s="16">
        <v>41</v>
      </c>
      <c r="D36" s="16">
        <v>57</v>
      </c>
    </row>
    <row r="37" spans="1:4" x14ac:dyDescent="0.2">
      <c r="A37" s="12" t="s">
        <v>215</v>
      </c>
      <c r="B37" s="16">
        <v>10</v>
      </c>
      <c r="C37" s="16">
        <v>48</v>
      </c>
      <c r="D37" s="16">
        <v>58</v>
      </c>
    </row>
    <row r="38" spans="1:4" x14ac:dyDescent="0.2">
      <c r="A38" s="12" t="s">
        <v>211</v>
      </c>
      <c r="B38" s="16">
        <v>18</v>
      </c>
      <c r="C38" s="16">
        <v>29</v>
      </c>
      <c r="D38" s="16">
        <v>47</v>
      </c>
    </row>
    <row r="39" spans="1:4" x14ac:dyDescent="0.2">
      <c r="A39" s="12" t="s">
        <v>210</v>
      </c>
      <c r="B39" s="16">
        <v>12</v>
      </c>
      <c r="C39" s="16">
        <v>51</v>
      </c>
      <c r="D39" s="16">
        <v>63</v>
      </c>
    </row>
    <row r="40" spans="1:4" x14ac:dyDescent="0.2">
      <c r="A40" s="12" t="s">
        <v>207</v>
      </c>
      <c r="B40" s="16">
        <v>27</v>
      </c>
      <c r="C40" s="16">
        <v>58</v>
      </c>
      <c r="D40" s="16">
        <v>85</v>
      </c>
    </row>
    <row r="41" spans="1:4" x14ac:dyDescent="0.2">
      <c r="A41" s="12" t="s">
        <v>214</v>
      </c>
      <c r="B41" s="16">
        <v>62</v>
      </c>
      <c r="C41" s="16">
        <v>107</v>
      </c>
      <c r="D41" s="16">
        <v>169</v>
      </c>
    </row>
    <row r="42" spans="1:4" x14ac:dyDescent="0.2">
      <c r="A42" s="11" t="s">
        <v>234</v>
      </c>
      <c r="B42" s="16">
        <v>236</v>
      </c>
      <c r="C42" s="16">
        <v>959</v>
      </c>
      <c r="D42" s="16">
        <v>1195</v>
      </c>
    </row>
    <row r="43" spans="1:4" x14ac:dyDescent="0.2">
      <c r="B43"/>
      <c r="C43"/>
      <c r="D43"/>
    </row>
    <row r="44" spans="1:4" x14ac:dyDescent="0.2">
      <c r="B44"/>
      <c r="C44"/>
      <c r="D44"/>
    </row>
    <row r="45" spans="1:4" x14ac:dyDescent="0.2">
      <c r="B45"/>
      <c r="C45"/>
      <c r="D45"/>
    </row>
  </sheetData>
  <sortState xmlns:xlrd2="http://schemas.microsoft.com/office/spreadsheetml/2017/richdata2" ref="A4:C39">
    <sortCondition ref="A7" customList="enero,febrero,marzo,abril,mayo,junio,julio,agosto,septiembre,octubre,noviembre,diciembre"/>
  </sortState>
  <mergeCells count="1">
    <mergeCell ref="B3:C3"/>
  </mergeCells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3:D44"/>
  <sheetViews>
    <sheetView workbookViewId="0">
      <selection activeCell="A13" sqref="A13"/>
    </sheetView>
  </sheetViews>
  <sheetFormatPr baseColWidth="10" defaultRowHeight="12.75" x14ac:dyDescent="0.2"/>
  <cols>
    <col min="1" max="1" width="18.28515625" customWidth="1"/>
    <col min="2" max="2" width="13.5703125" style="23" customWidth="1"/>
    <col min="3" max="3" width="11.42578125" style="23" customWidth="1"/>
    <col min="4" max="4" width="8.7109375" style="15" customWidth="1"/>
  </cols>
  <sheetData>
    <row r="3" spans="1:4" hidden="1" x14ac:dyDescent="0.2">
      <c r="A3" s="10" t="s">
        <v>0</v>
      </c>
      <c r="B3" t="s">
        <v>222</v>
      </c>
    </row>
    <row r="4" spans="1:4" x14ac:dyDescent="0.2">
      <c r="A4" s="13"/>
      <c r="B4" s="25" t="s">
        <v>229</v>
      </c>
      <c r="C4"/>
      <c r="D4"/>
    </row>
    <row r="5" spans="1:4" hidden="1" x14ac:dyDescent="0.2">
      <c r="A5" s="10" t="s">
        <v>220</v>
      </c>
      <c r="B5" s="10" t="s">
        <v>144</v>
      </c>
      <c r="C5"/>
      <c r="D5"/>
    </row>
    <row r="6" spans="1:4" hidden="1" x14ac:dyDescent="0.2">
      <c r="A6" s="10" t="s">
        <v>217</v>
      </c>
      <c r="B6" s="15" t="s">
        <v>221</v>
      </c>
      <c r="C6"/>
      <c r="D6"/>
    </row>
    <row r="7" spans="1:4" x14ac:dyDescent="0.2">
      <c r="A7" s="11">
        <v>2017</v>
      </c>
      <c r="B7" s="24"/>
      <c r="C7"/>
      <c r="D7"/>
    </row>
    <row r="8" spans="1:4" x14ac:dyDescent="0.2">
      <c r="A8" s="12" t="s">
        <v>204</v>
      </c>
      <c r="B8" s="24">
        <v>7686.02</v>
      </c>
      <c r="C8"/>
      <c r="D8"/>
    </row>
    <row r="9" spans="1:4" x14ac:dyDescent="0.2">
      <c r="A9" s="12" t="s">
        <v>208</v>
      </c>
      <c r="B9" s="24">
        <v>427.91</v>
      </c>
      <c r="C9"/>
      <c r="D9"/>
    </row>
    <row r="10" spans="1:4" x14ac:dyDescent="0.2">
      <c r="A10" s="12" t="s">
        <v>209</v>
      </c>
      <c r="B10" s="24">
        <v>4121.8</v>
      </c>
      <c r="C10"/>
      <c r="D10"/>
    </row>
    <row r="11" spans="1:4" x14ac:dyDescent="0.2">
      <c r="A11" s="12" t="s">
        <v>211</v>
      </c>
      <c r="B11" s="24">
        <v>1220</v>
      </c>
      <c r="C11"/>
      <c r="D11"/>
    </row>
    <row r="12" spans="1:4" x14ac:dyDescent="0.2">
      <c r="A12" s="12" t="s">
        <v>210</v>
      </c>
      <c r="B12" s="24">
        <v>80</v>
      </c>
      <c r="C12"/>
      <c r="D12"/>
    </row>
    <row r="13" spans="1:4" x14ac:dyDescent="0.2">
      <c r="A13" s="12" t="s">
        <v>207</v>
      </c>
      <c r="B13" s="24">
        <v>102</v>
      </c>
      <c r="C13"/>
      <c r="D13"/>
    </row>
    <row r="14" spans="1:4" x14ac:dyDescent="0.2">
      <c r="A14" s="12" t="s">
        <v>212</v>
      </c>
      <c r="B14" s="24">
        <v>16272.99</v>
      </c>
      <c r="C14"/>
      <c r="D14"/>
    </row>
    <row r="15" spans="1:4" x14ac:dyDescent="0.2">
      <c r="A15" s="12" t="s">
        <v>206</v>
      </c>
      <c r="B15" s="24">
        <v>350</v>
      </c>
      <c r="C15"/>
      <c r="D15"/>
    </row>
    <row r="16" spans="1:4" x14ac:dyDescent="0.2">
      <c r="A16" s="12" t="s">
        <v>205</v>
      </c>
      <c r="B16" s="24">
        <v>460</v>
      </c>
      <c r="C16"/>
      <c r="D16"/>
    </row>
    <row r="17" spans="1:4" x14ac:dyDescent="0.2">
      <c r="A17" s="11">
        <v>2018</v>
      </c>
      <c r="B17" s="24"/>
      <c r="C17"/>
      <c r="D17"/>
    </row>
    <row r="18" spans="1:4" x14ac:dyDescent="0.2">
      <c r="A18" s="12" t="s">
        <v>213</v>
      </c>
      <c r="B18" s="24">
        <v>1870</v>
      </c>
      <c r="C18"/>
      <c r="D18"/>
    </row>
    <row r="19" spans="1:4" x14ac:dyDescent="0.2">
      <c r="A19" s="12" t="s">
        <v>209</v>
      </c>
      <c r="B19" s="24">
        <v>408.3</v>
      </c>
      <c r="C19"/>
      <c r="D19"/>
    </row>
    <row r="20" spans="1:4" x14ac:dyDescent="0.2">
      <c r="A20" s="12" t="s">
        <v>215</v>
      </c>
      <c r="B20" s="24">
        <v>886.49</v>
      </c>
      <c r="C20"/>
      <c r="D20"/>
    </row>
    <row r="21" spans="1:4" x14ac:dyDescent="0.2">
      <c r="A21" s="12" t="s">
        <v>211</v>
      </c>
      <c r="B21" s="24">
        <v>600</v>
      </c>
      <c r="C21"/>
      <c r="D21"/>
    </row>
    <row r="22" spans="1:4" x14ac:dyDescent="0.2">
      <c r="A22" s="12" t="s">
        <v>210</v>
      </c>
      <c r="B22" s="24">
        <v>980</v>
      </c>
      <c r="C22"/>
      <c r="D22"/>
    </row>
    <row r="23" spans="1:4" x14ac:dyDescent="0.2">
      <c r="A23" s="12" t="s">
        <v>207</v>
      </c>
      <c r="B23" s="24">
        <v>15365.24</v>
      </c>
      <c r="C23"/>
      <c r="D23"/>
    </row>
    <row r="24" spans="1:4" x14ac:dyDescent="0.2">
      <c r="A24" s="12" t="s">
        <v>212</v>
      </c>
      <c r="B24" s="24">
        <v>18815.309999999998</v>
      </c>
      <c r="C24"/>
      <c r="D24"/>
    </row>
    <row r="25" spans="1:4" x14ac:dyDescent="0.2">
      <c r="A25" s="12" t="s">
        <v>206</v>
      </c>
      <c r="B25" s="24">
        <v>440</v>
      </c>
      <c r="C25"/>
      <c r="D25"/>
    </row>
    <row r="26" spans="1:4" x14ac:dyDescent="0.2">
      <c r="A26" s="12" t="s">
        <v>205</v>
      </c>
      <c r="B26" s="24">
        <v>19689.510000000002</v>
      </c>
      <c r="C26"/>
      <c r="D26"/>
    </row>
    <row r="27" spans="1:4" x14ac:dyDescent="0.2">
      <c r="A27" s="11">
        <v>2019</v>
      </c>
      <c r="B27" s="24"/>
      <c r="C27"/>
      <c r="D27"/>
    </row>
    <row r="28" spans="1:4" x14ac:dyDescent="0.2">
      <c r="A28" s="12" t="s">
        <v>204</v>
      </c>
      <c r="B28" s="24">
        <v>14764.32</v>
      </c>
      <c r="C28"/>
      <c r="D28"/>
    </row>
    <row r="29" spans="1:4" x14ac:dyDescent="0.2">
      <c r="A29" s="12" t="s">
        <v>213</v>
      </c>
      <c r="B29" s="24">
        <v>10240</v>
      </c>
      <c r="C29"/>
      <c r="D29"/>
    </row>
    <row r="30" spans="1:4" x14ac:dyDescent="0.2">
      <c r="A30" s="12" t="s">
        <v>208</v>
      </c>
      <c r="B30" s="24">
        <v>3984.5699999999997</v>
      </c>
      <c r="C30"/>
      <c r="D30"/>
    </row>
    <row r="31" spans="1:4" x14ac:dyDescent="0.2">
      <c r="A31" s="12" t="s">
        <v>209</v>
      </c>
      <c r="B31" s="24">
        <v>1670</v>
      </c>
      <c r="C31"/>
      <c r="D31"/>
    </row>
    <row r="32" spans="1:4" x14ac:dyDescent="0.2">
      <c r="A32" s="12" t="s">
        <v>215</v>
      </c>
      <c r="B32" s="24">
        <v>9163.4500000000007</v>
      </c>
      <c r="C32"/>
      <c r="D32"/>
    </row>
    <row r="33" spans="1:4" x14ac:dyDescent="0.2">
      <c r="A33" s="12" t="s">
        <v>211</v>
      </c>
      <c r="B33" s="24">
        <v>23497.46</v>
      </c>
      <c r="C33"/>
      <c r="D33"/>
    </row>
    <row r="34" spans="1:4" x14ac:dyDescent="0.2">
      <c r="A34" s="12" t="s">
        <v>210</v>
      </c>
      <c r="B34" s="24">
        <v>16099.3</v>
      </c>
      <c r="C34"/>
      <c r="D34"/>
    </row>
    <row r="35" spans="1:4" x14ac:dyDescent="0.2">
      <c r="A35" s="12" t="s">
        <v>207</v>
      </c>
      <c r="B35" s="24">
        <v>34940.22</v>
      </c>
      <c r="C35"/>
      <c r="D35"/>
    </row>
    <row r="36" spans="1:4" x14ac:dyDescent="0.2">
      <c r="A36" s="12" t="s">
        <v>214</v>
      </c>
      <c r="B36" s="24">
        <v>154983.69</v>
      </c>
      <c r="C36"/>
      <c r="D36"/>
    </row>
    <row r="37" spans="1:4" x14ac:dyDescent="0.2">
      <c r="A37" s="11" t="s">
        <v>218</v>
      </c>
      <c r="B37" s="24">
        <v>359118.58</v>
      </c>
      <c r="C37"/>
      <c r="D37"/>
    </row>
    <row r="38" spans="1:4" x14ac:dyDescent="0.2">
      <c r="B38"/>
      <c r="C38" s="22"/>
      <c r="D38"/>
    </row>
    <row r="39" spans="1:4" x14ac:dyDescent="0.2">
      <c r="B39"/>
      <c r="C39" s="22"/>
      <c r="D39"/>
    </row>
    <row r="40" spans="1:4" x14ac:dyDescent="0.2">
      <c r="B40"/>
      <c r="C40" s="22"/>
      <c r="D40"/>
    </row>
    <row r="41" spans="1:4" x14ac:dyDescent="0.2">
      <c r="D41"/>
    </row>
    <row r="42" spans="1:4" x14ac:dyDescent="0.2">
      <c r="D42"/>
    </row>
    <row r="43" spans="1:4" x14ac:dyDescent="0.2">
      <c r="D43"/>
    </row>
    <row r="44" spans="1:4" x14ac:dyDescent="0.2">
      <c r="D44"/>
    </row>
  </sheetData>
  <pageMargins left="0.7" right="0.7" top="0.75" bottom="0.75" header="0.3" footer="0.3"/>
  <pageSetup paperSize="9" orientation="portrait" verticalDpi="30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/>
  <dimension ref="A3:D44"/>
  <sheetViews>
    <sheetView workbookViewId="0">
      <selection activeCell="B13" sqref="B13"/>
    </sheetView>
  </sheetViews>
  <sheetFormatPr baseColWidth="10" defaultRowHeight="12.75" x14ac:dyDescent="0.2"/>
  <cols>
    <col min="1" max="1" width="18.28515625" customWidth="1"/>
    <col min="2" max="2" width="13.5703125" style="23" customWidth="1"/>
    <col min="3" max="3" width="11.42578125" style="23" customWidth="1"/>
    <col min="4" max="4" width="8.7109375" style="15" customWidth="1"/>
  </cols>
  <sheetData>
    <row r="3" spans="1:4" hidden="1" x14ac:dyDescent="0.2">
      <c r="A3" s="10" t="s">
        <v>0</v>
      </c>
      <c r="B3" t="s">
        <v>223</v>
      </c>
    </row>
    <row r="4" spans="1:4" x14ac:dyDescent="0.2">
      <c r="A4" s="13"/>
      <c r="B4" s="25" t="s">
        <v>229</v>
      </c>
      <c r="C4"/>
      <c r="D4"/>
    </row>
    <row r="5" spans="1:4" hidden="1" x14ac:dyDescent="0.2">
      <c r="A5" s="10" t="s">
        <v>220</v>
      </c>
      <c r="B5" s="10" t="s">
        <v>144</v>
      </c>
      <c r="C5"/>
      <c r="D5"/>
    </row>
    <row r="6" spans="1:4" hidden="1" x14ac:dyDescent="0.2">
      <c r="A6" s="10" t="s">
        <v>217</v>
      </c>
      <c r="B6" s="15" t="s">
        <v>221</v>
      </c>
      <c r="C6"/>
      <c r="D6"/>
    </row>
    <row r="7" spans="1:4" x14ac:dyDescent="0.2">
      <c r="A7" s="11">
        <v>2017</v>
      </c>
      <c r="B7" s="26"/>
      <c r="C7"/>
      <c r="D7"/>
    </row>
    <row r="8" spans="1:4" x14ac:dyDescent="0.2">
      <c r="A8" s="12" t="s">
        <v>208</v>
      </c>
      <c r="B8" s="26">
        <v>120</v>
      </c>
      <c r="C8"/>
      <c r="D8"/>
    </row>
    <row r="9" spans="1:4" x14ac:dyDescent="0.2">
      <c r="A9" s="12" t="s">
        <v>210</v>
      </c>
      <c r="B9" s="26">
        <v>66.349999999999994</v>
      </c>
      <c r="C9"/>
      <c r="D9"/>
    </row>
    <row r="10" spans="1:4" x14ac:dyDescent="0.2">
      <c r="A10" s="11">
        <v>2018</v>
      </c>
      <c r="B10" s="26"/>
      <c r="C10"/>
      <c r="D10"/>
    </row>
    <row r="11" spans="1:4" x14ac:dyDescent="0.2">
      <c r="A11" s="12" t="s">
        <v>213</v>
      </c>
      <c r="B11" s="26">
        <v>3000</v>
      </c>
      <c r="C11"/>
      <c r="D11"/>
    </row>
    <row r="12" spans="1:4" x14ac:dyDescent="0.2">
      <c r="A12" s="12" t="s">
        <v>209</v>
      </c>
      <c r="B12" s="26">
        <v>950</v>
      </c>
      <c r="C12"/>
      <c r="D12"/>
    </row>
    <row r="13" spans="1:4" x14ac:dyDescent="0.2">
      <c r="A13" s="12" t="s">
        <v>215</v>
      </c>
      <c r="B13" s="26">
        <v>126.11</v>
      </c>
      <c r="C13"/>
      <c r="D13"/>
    </row>
    <row r="14" spans="1:4" x14ac:dyDescent="0.2">
      <c r="A14" s="12" t="s">
        <v>210</v>
      </c>
      <c r="B14" s="26">
        <v>5</v>
      </c>
      <c r="C14"/>
      <c r="D14"/>
    </row>
    <row r="15" spans="1:4" x14ac:dyDescent="0.2">
      <c r="A15" s="12" t="s">
        <v>214</v>
      </c>
      <c r="B15" s="26">
        <v>63.2</v>
      </c>
      <c r="C15"/>
      <c r="D15"/>
    </row>
    <row r="16" spans="1:4" x14ac:dyDescent="0.2">
      <c r="A16" s="12" t="s">
        <v>212</v>
      </c>
      <c r="B16" s="26">
        <v>2118.86</v>
      </c>
      <c r="C16"/>
      <c r="D16"/>
    </row>
    <row r="17" spans="1:4" x14ac:dyDescent="0.2">
      <c r="A17" s="12" t="s">
        <v>206</v>
      </c>
      <c r="B17" s="26">
        <v>6945</v>
      </c>
      <c r="C17"/>
      <c r="D17"/>
    </row>
    <row r="18" spans="1:4" x14ac:dyDescent="0.2">
      <c r="A18" s="12" t="s">
        <v>205</v>
      </c>
      <c r="B18" s="26">
        <v>131.72</v>
      </c>
      <c r="C18"/>
      <c r="D18"/>
    </row>
    <row r="19" spans="1:4" x14ac:dyDescent="0.2">
      <c r="A19" s="11">
        <v>2019</v>
      </c>
      <c r="B19" s="26"/>
      <c r="C19"/>
      <c r="D19"/>
    </row>
    <row r="20" spans="1:4" x14ac:dyDescent="0.2">
      <c r="A20" s="12" t="s">
        <v>213</v>
      </c>
      <c r="B20" s="26">
        <v>17703</v>
      </c>
      <c r="C20"/>
      <c r="D20"/>
    </row>
    <row r="21" spans="1:4" x14ac:dyDescent="0.2">
      <c r="A21" s="12" t="s">
        <v>208</v>
      </c>
      <c r="B21" s="26">
        <v>0.03</v>
      </c>
      <c r="C21"/>
      <c r="D21"/>
    </row>
    <row r="22" spans="1:4" x14ac:dyDescent="0.2">
      <c r="A22" s="12" t="s">
        <v>209</v>
      </c>
      <c r="B22" s="26">
        <v>4890.79</v>
      </c>
      <c r="C22"/>
      <c r="D22"/>
    </row>
    <row r="23" spans="1:4" x14ac:dyDescent="0.2">
      <c r="A23" s="12" t="s">
        <v>215</v>
      </c>
      <c r="B23" s="26">
        <v>450</v>
      </c>
      <c r="C23"/>
      <c r="D23"/>
    </row>
    <row r="24" spans="1:4" x14ac:dyDescent="0.2">
      <c r="A24" s="12" t="s">
        <v>211</v>
      </c>
      <c r="B24" s="26">
        <v>2187</v>
      </c>
      <c r="C24"/>
      <c r="D24"/>
    </row>
    <row r="25" spans="1:4" x14ac:dyDescent="0.2">
      <c r="A25" s="12" t="s">
        <v>210</v>
      </c>
      <c r="B25" s="26">
        <v>2682.2</v>
      </c>
      <c r="C25"/>
      <c r="D25"/>
    </row>
    <row r="26" spans="1:4" x14ac:dyDescent="0.2">
      <c r="A26" s="12" t="s">
        <v>207</v>
      </c>
      <c r="B26" s="26">
        <v>10619.279999999999</v>
      </c>
      <c r="C26"/>
      <c r="D26"/>
    </row>
    <row r="27" spans="1:4" x14ac:dyDescent="0.2">
      <c r="A27" s="12" t="s">
        <v>214</v>
      </c>
      <c r="B27" s="26">
        <v>76163.81</v>
      </c>
      <c r="C27"/>
      <c r="D27"/>
    </row>
    <row r="28" spans="1:4" x14ac:dyDescent="0.2">
      <c r="A28" s="11" t="s">
        <v>218</v>
      </c>
      <c r="B28" s="26">
        <v>128222.34999999999</v>
      </c>
      <c r="C28"/>
      <c r="D28"/>
    </row>
    <row r="29" spans="1:4" x14ac:dyDescent="0.2">
      <c r="B29"/>
      <c r="C29"/>
      <c r="D29"/>
    </row>
    <row r="30" spans="1:4" x14ac:dyDescent="0.2">
      <c r="B30"/>
      <c r="C30"/>
      <c r="D30"/>
    </row>
    <row r="31" spans="1:4" x14ac:dyDescent="0.2">
      <c r="B31"/>
      <c r="C31"/>
      <c r="D31"/>
    </row>
    <row r="32" spans="1:4" x14ac:dyDescent="0.2">
      <c r="B32"/>
      <c r="C32"/>
      <c r="D32"/>
    </row>
    <row r="33" spans="2:4" x14ac:dyDescent="0.2">
      <c r="B33"/>
      <c r="C33"/>
      <c r="D33"/>
    </row>
    <row r="34" spans="2:4" x14ac:dyDescent="0.2">
      <c r="B34"/>
      <c r="C34"/>
      <c r="D34"/>
    </row>
    <row r="35" spans="2:4" x14ac:dyDescent="0.2">
      <c r="B35"/>
      <c r="C35"/>
      <c r="D35"/>
    </row>
    <row r="36" spans="2:4" x14ac:dyDescent="0.2">
      <c r="B36"/>
      <c r="C36"/>
      <c r="D36"/>
    </row>
    <row r="37" spans="2:4" x14ac:dyDescent="0.2">
      <c r="B37"/>
      <c r="C37"/>
      <c r="D37"/>
    </row>
    <row r="38" spans="2:4" x14ac:dyDescent="0.2">
      <c r="B38" s="22"/>
      <c r="C38" s="22"/>
      <c r="D38"/>
    </row>
    <row r="39" spans="2:4" x14ac:dyDescent="0.2">
      <c r="B39" s="22"/>
      <c r="C39" s="22"/>
      <c r="D39"/>
    </row>
    <row r="40" spans="2:4" x14ac:dyDescent="0.2">
      <c r="B40" s="22"/>
      <c r="C40" s="22"/>
      <c r="D40"/>
    </row>
    <row r="41" spans="2:4" x14ac:dyDescent="0.2">
      <c r="D41"/>
    </row>
    <row r="42" spans="2:4" x14ac:dyDescent="0.2">
      <c r="D42"/>
    </row>
    <row r="43" spans="2:4" x14ac:dyDescent="0.2">
      <c r="D43"/>
    </row>
    <row r="44" spans="2:4" x14ac:dyDescent="0.2">
      <c r="D44"/>
    </row>
  </sheetData>
  <pageMargins left="0.7" right="0.7" top="0.75" bottom="0.75" header="0.3" footer="0.3"/>
  <pageSetup paperSize="9" orientation="portrait" verticalDpi="3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"/>
  <dimension ref="A3:D43"/>
  <sheetViews>
    <sheetView workbookViewId="0">
      <selection activeCell="B10" sqref="B10"/>
    </sheetView>
  </sheetViews>
  <sheetFormatPr baseColWidth="10" defaultRowHeight="12.75" x14ac:dyDescent="0.2"/>
  <cols>
    <col min="1" max="1" width="18.28515625" customWidth="1"/>
    <col min="2" max="2" width="15.7109375" style="15" customWidth="1"/>
    <col min="3" max="3" width="8.28515625" style="15" customWidth="1"/>
    <col min="4" max="4" width="8.7109375" style="15" customWidth="1"/>
  </cols>
  <sheetData>
    <row r="3" spans="1:4" x14ac:dyDescent="0.2">
      <c r="A3" s="13"/>
      <c r="B3" s="18" t="s">
        <v>231</v>
      </c>
      <c r="D3"/>
    </row>
    <row r="4" spans="1:4" hidden="1" x14ac:dyDescent="0.2">
      <c r="A4" s="10" t="s">
        <v>217</v>
      </c>
      <c r="B4" s="10" t="s">
        <v>144</v>
      </c>
      <c r="C4"/>
      <c r="D4"/>
    </row>
    <row r="5" spans="1:4" hidden="1" x14ac:dyDescent="0.2">
      <c r="A5" s="10" t="s">
        <v>217</v>
      </c>
      <c r="B5" s="15" t="s">
        <v>216</v>
      </c>
      <c r="C5"/>
      <c r="D5"/>
    </row>
    <row r="6" spans="1:4" x14ac:dyDescent="0.2">
      <c r="A6" s="11">
        <v>2017</v>
      </c>
      <c r="B6" s="16"/>
      <c r="C6"/>
      <c r="D6"/>
    </row>
    <row r="7" spans="1:4" x14ac:dyDescent="0.2">
      <c r="A7" s="12" t="s">
        <v>204</v>
      </c>
      <c r="B7" s="16">
        <v>1</v>
      </c>
      <c r="C7"/>
      <c r="D7"/>
    </row>
    <row r="8" spans="1:4" x14ac:dyDescent="0.2">
      <c r="A8" s="12" t="s">
        <v>208</v>
      </c>
      <c r="B8" s="16">
        <v>2</v>
      </c>
      <c r="C8"/>
      <c r="D8"/>
    </row>
    <row r="9" spans="1:4" x14ac:dyDescent="0.2">
      <c r="A9" s="12" t="s">
        <v>209</v>
      </c>
      <c r="B9" s="16">
        <v>4</v>
      </c>
      <c r="C9"/>
      <c r="D9"/>
    </row>
    <row r="10" spans="1:4" x14ac:dyDescent="0.2">
      <c r="A10" s="12" t="s">
        <v>211</v>
      </c>
      <c r="B10" s="16">
        <v>3</v>
      </c>
      <c r="C10"/>
      <c r="D10"/>
    </row>
    <row r="11" spans="1:4" x14ac:dyDescent="0.2">
      <c r="A11" s="12" t="s">
        <v>210</v>
      </c>
      <c r="B11" s="16">
        <v>4</v>
      </c>
      <c r="C11"/>
      <c r="D11"/>
    </row>
    <row r="12" spans="1:4" x14ac:dyDescent="0.2">
      <c r="A12" s="12" t="s">
        <v>207</v>
      </c>
      <c r="B12" s="16">
        <v>1</v>
      </c>
      <c r="C12"/>
      <c r="D12"/>
    </row>
    <row r="13" spans="1:4" x14ac:dyDescent="0.2">
      <c r="A13" s="12" t="s">
        <v>212</v>
      </c>
      <c r="B13" s="16">
        <v>2</v>
      </c>
      <c r="C13"/>
      <c r="D13"/>
    </row>
    <row r="14" spans="1:4" x14ac:dyDescent="0.2">
      <c r="A14" s="12" t="s">
        <v>206</v>
      </c>
      <c r="B14" s="16">
        <v>1</v>
      </c>
      <c r="C14"/>
      <c r="D14"/>
    </row>
    <row r="15" spans="1:4" x14ac:dyDescent="0.2">
      <c r="A15" s="12" t="s">
        <v>205</v>
      </c>
      <c r="B15" s="16">
        <v>2</v>
      </c>
      <c r="C15"/>
      <c r="D15"/>
    </row>
    <row r="16" spans="1:4" x14ac:dyDescent="0.2">
      <c r="A16" s="11">
        <v>2018</v>
      </c>
      <c r="B16" s="16"/>
      <c r="C16"/>
      <c r="D16"/>
    </row>
    <row r="17" spans="1:4" x14ac:dyDescent="0.2">
      <c r="A17" s="12" t="s">
        <v>213</v>
      </c>
      <c r="B17" s="16">
        <v>3</v>
      </c>
      <c r="C17"/>
      <c r="D17"/>
    </row>
    <row r="18" spans="1:4" x14ac:dyDescent="0.2">
      <c r="A18" s="12" t="s">
        <v>209</v>
      </c>
      <c r="B18" s="16">
        <v>3</v>
      </c>
      <c r="C18"/>
      <c r="D18"/>
    </row>
    <row r="19" spans="1:4" x14ac:dyDescent="0.2">
      <c r="A19" s="12" t="s">
        <v>215</v>
      </c>
      <c r="B19" s="16">
        <v>5</v>
      </c>
      <c r="C19"/>
      <c r="D19"/>
    </row>
    <row r="20" spans="1:4" x14ac:dyDescent="0.2">
      <c r="A20" s="12" t="s">
        <v>211</v>
      </c>
      <c r="B20" s="16">
        <v>1</v>
      </c>
      <c r="C20"/>
      <c r="D20"/>
    </row>
    <row r="21" spans="1:4" x14ac:dyDescent="0.2">
      <c r="A21" s="12" t="s">
        <v>210</v>
      </c>
      <c r="B21" s="16">
        <v>4</v>
      </c>
      <c r="C21"/>
      <c r="D21"/>
    </row>
    <row r="22" spans="1:4" x14ac:dyDescent="0.2">
      <c r="A22" s="12" t="s">
        <v>207</v>
      </c>
      <c r="B22" s="16">
        <v>2</v>
      </c>
      <c r="C22"/>
      <c r="D22"/>
    </row>
    <row r="23" spans="1:4" x14ac:dyDescent="0.2">
      <c r="A23" s="12" t="s">
        <v>214</v>
      </c>
      <c r="B23" s="16">
        <v>1</v>
      </c>
      <c r="C23"/>
      <c r="D23"/>
    </row>
    <row r="24" spans="1:4" x14ac:dyDescent="0.2">
      <c r="A24" s="12" t="s">
        <v>212</v>
      </c>
      <c r="B24" s="16">
        <v>8</v>
      </c>
      <c r="C24"/>
      <c r="D24"/>
    </row>
    <row r="25" spans="1:4" x14ac:dyDescent="0.2">
      <c r="A25" s="12" t="s">
        <v>206</v>
      </c>
      <c r="B25" s="16">
        <v>4</v>
      </c>
      <c r="C25"/>
      <c r="D25"/>
    </row>
    <row r="26" spans="1:4" x14ac:dyDescent="0.2">
      <c r="A26" s="12" t="s">
        <v>205</v>
      </c>
      <c r="B26" s="16">
        <v>10</v>
      </c>
      <c r="C26"/>
      <c r="D26"/>
    </row>
    <row r="27" spans="1:4" x14ac:dyDescent="0.2">
      <c r="A27" s="11">
        <v>2019</v>
      </c>
      <c r="B27" s="16"/>
      <c r="C27"/>
      <c r="D27"/>
    </row>
    <row r="28" spans="1:4" x14ac:dyDescent="0.2">
      <c r="A28" s="12" t="s">
        <v>204</v>
      </c>
      <c r="B28" s="16">
        <v>9</v>
      </c>
      <c r="C28"/>
      <c r="D28"/>
    </row>
    <row r="29" spans="1:4" x14ac:dyDescent="0.2">
      <c r="A29" s="12" t="s">
        <v>213</v>
      </c>
      <c r="B29" s="16">
        <v>7</v>
      </c>
      <c r="C29"/>
      <c r="D29"/>
    </row>
    <row r="30" spans="1:4" x14ac:dyDescent="0.2">
      <c r="A30" s="12" t="s">
        <v>208</v>
      </c>
      <c r="B30" s="16">
        <v>14</v>
      </c>
      <c r="C30"/>
      <c r="D30"/>
    </row>
    <row r="31" spans="1:4" x14ac:dyDescent="0.2">
      <c r="A31" s="12" t="s">
        <v>209</v>
      </c>
      <c r="B31" s="16">
        <v>16</v>
      </c>
      <c r="C31"/>
      <c r="D31"/>
    </row>
    <row r="32" spans="1:4" x14ac:dyDescent="0.2">
      <c r="A32" s="12" t="s">
        <v>215</v>
      </c>
      <c r="B32" s="16">
        <v>10</v>
      </c>
      <c r="C32"/>
      <c r="D32"/>
    </row>
    <row r="33" spans="1:4" x14ac:dyDescent="0.2">
      <c r="A33" s="12" t="s">
        <v>211</v>
      </c>
      <c r="B33" s="16">
        <v>18</v>
      </c>
      <c r="C33"/>
      <c r="D33"/>
    </row>
    <row r="34" spans="1:4" x14ac:dyDescent="0.2">
      <c r="A34" s="12" t="s">
        <v>210</v>
      </c>
      <c r="B34" s="16">
        <v>12</v>
      </c>
      <c r="C34"/>
      <c r="D34"/>
    </row>
    <row r="35" spans="1:4" x14ac:dyDescent="0.2">
      <c r="A35" s="12" t="s">
        <v>207</v>
      </c>
      <c r="B35" s="16">
        <v>27</v>
      </c>
      <c r="C35"/>
      <c r="D35"/>
    </row>
    <row r="36" spans="1:4" x14ac:dyDescent="0.2">
      <c r="A36" s="12" t="s">
        <v>214</v>
      </c>
      <c r="B36" s="16">
        <v>62</v>
      </c>
      <c r="C36"/>
      <c r="D36"/>
    </row>
    <row r="37" spans="1:4" x14ac:dyDescent="0.2">
      <c r="A37" s="11" t="s">
        <v>218</v>
      </c>
      <c r="B37" s="16">
        <v>236</v>
      </c>
      <c r="C37"/>
      <c r="D37"/>
    </row>
    <row r="38" spans="1:4" x14ac:dyDescent="0.2">
      <c r="B38"/>
      <c r="C38"/>
      <c r="D38"/>
    </row>
    <row r="39" spans="1:4" x14ac:dyDescent="0.2">
      <c r="B39"/>
      <c r="C39"/>
      <c r="D39"/>
    </row>
    <row r="40" spans="1:4" x14ac:dyDescent="0.2">
      <c r="B40"/>
      <c r="C40"/>
      <c r="D40"/>
    </row>
    <row r="41" spans="1:4" x14ac:dyDescent="0.2">
      <c r="B41"/>
      <c r="C41"/>
      <c r="D41"/>
    </row>
    <row r="42" spans="1:4" x14ac:dyDescent="0.2">
      <c r="B42"/>
      <c r="C42"/>
      <c r="D42"/>
    </row>
    <row r="43" spans="1:4" x14ac:dyDescent="0.2">
      <c r="B43"/>
      <c r="C43"/>
      <c r="D43"/>
    </row>
  </sheetData>
  <pageMargins left="0.7" right="0.7" top="0.75" bottom="0.75" header="0.3" footer="0.3"/>
  <pageSetup paperSize="9" orientation="portrait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7</vt:i4>
      </vt:variant>
    </vt:vector>
  </HeadingPairs>
  <TitlesOfParts>
    <vt:vector size="19" baseType="lpstr">
      <vt:lpstr>Data</vt:lpstr>
      <vt:lpstr>Referencia</vt:lpstr>
      <vt:lpstr>Exclusiones</vt:lpstr>
      <vt:lpstr>Responsable-Especifico</vt:lpstr>
      <vt:lpstr>Responsable-Glosa</vt:lpstr>
      <vt:lpstr>Banco</vt:lpstr>
      <vt:lpstr>G_Responsable</vt:lpstr>
      <vt:lpstr>G_Consolidado</vt:lpstr>
      <vt:lpstr>G_Identificabilidad</vt:lpstr>
      <vt:lpstr>G_Soles</vt:lpstr>
      <vt:lpstr>G_Dolares</vt:lpstr>
      <vt:lpstr>G_Identeficables</vt:lpstr>
      <vt:lpstr>AREA</vt:lpstr>
      <vt:lpstr>EXCLUSION_ESPECIFICA</vt:lpstr>
      <vt:lpstr>EXCLUSION_INICIAL</vt:lpstr>
      <vt:lpstr>FORMULAS</vt:lpstr>
      <vt:lpstr>GLOSA</vt:lpstr>
      <vt:lpstr>IDENTIFICABLE</vt:lpstr>
      <vt:lpstr>Tipo_de_Cambio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dcterms:created xsi:type="dcterms:W3CDTF">2018-01-26T22:24:06Z</dcterms:created>
  <dcterms:modified xsi:type="dcterms:W3CDTF">2020-08-14T02:12:13Z</dcterms:modified>
</cp:coreProperties>
</file>